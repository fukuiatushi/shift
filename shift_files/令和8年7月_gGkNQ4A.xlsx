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f84b2545007127e0/デスクトップ/"/>
    </mc:Choice>
  </mc:AlternateContent>
  <xr:revisionPtr revIDLastSave="3" documentId="13_ncr:1_{29AC8C36-EE3E-4211-A386-17C47521D14B}" xr6:coauthVersionLast="47" xr6:coauthVersionMax="47" xr10:uidLastSave="{319A598B-A5D4-40FD-AF7A-B0B965474D61}"/>
  <bookViews>
    <workbookView xWindow="28680" yWindow="-120" windowWidth="29040" windowHeight="15720" xr2:uid="{ED55FED5-E427-4253-BAE4-87006AA4481C}"/>
  </bookViews>
  <sheets>
    <sheet name="令和8年7月 " sheetId="1" r:id="rId1"/>
  </sheets>
  <definedNames>
    <definedName name="_xlnm.Print_Area" localSheetId="0">'令和8年7月 '!$A$1:$AN$49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B30" i="1" l="1"/>
  <c r="AU30" i="1"/>
  <c r="AT30" i="1"/>
  <c r="AQ30" i="1"/>
  <c r="AS30" i="1"/>
  <c r="AR30" i="1"/>
  <c r="AP10" i="1" l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H30" i="1" s="1"/>
  <c r="AO31" i="1"/>
  <c r="AO32" i="1"/>
  <c r="AO33" i="1"/>
  <c r="AO34" i="1"/>
  <c r="AO35" i="1"/>
  <c r="AO36" i="1"/>
  <c r="AO37" i="1"/>
  <c r="AO38" i="1"/>
  <c r="AP9" i="1"/>
  <c r="AO9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B54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BG49" i="1"/>
  <c r="BF49" i="1"/>
  <c r="BD49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BG48" i="1"/>
  <c r="BF48" i="1"/>
  <c r="BD48" i="1"/>
  <c r="BB48" i="1"/>
  <c r="BA48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BG47" i="1"/>
  <c r="BF47" i="1"/>
  <c r="BD47" i="1"/>
  <c r="BB47" i="1"/>
  <c r="AL47" i="1" s="1"/>
  <c r="BA47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H47" i="1" s="1"/>
  <c r="AN47" i="1"/>
  <c r="AN46" i="1"/>
  <c r="AM46" i="1"/>
  <c r="AL46" i="1"/>
  <c r="AK46" i="1"/>
  <c r="AJ46" i="1"/>
  <c r="AI46" i="1"/>
  <c r="AH46" i="1"/>
  <c r="BG45" i="1"/>
  <c r="BF45" i="1"/>
  <c r="BD45" i="1"/>
  <c r="BB45" i="1"/>
  <c r="AL45" i="1" s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BG44" i="1"/>
  <c r="BF44" i="1"/>
  <c r="BD44" i="1"/>
  <c r="BB44" i="1"/>
  <c r="AL44" i="1" s="1"/>
  <c r="BA44" i="1"/>
  <c r="AZ44" i="1"/>
  <c r="AY44" i="1"/>
  <c r="AX44" i="1"/>
  <c r="AW44" i="1"/>
  <c r="AM44" i="1" s="1"/>
  <c r="AV44" i="1"/>
  <c r="AU44" i="1"/>
  <c r="AT44" i="1"/>
  <c r="AS44" i="1"/>
  <c r="AR44" i="1"/>
  <c r="AQ44" i="1"/>
  <c r="AP44" i="1"/>
  <c r="AO44" i="1"/>
  <c r="AH44" i="1" s="1"/>
  <c r="AN44" i="1"/>
  <c r="BI38" i="1"/>
  <c r="BH38" i="1"/>
  <c r="BG38" i="1"/>
  <c r="BF38" i="1"/>
  <c r="BE38" i="1"/>
  <c r="BD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N38" i="1"/>
  <c r="BI37" i="1"/>
  <c r="BH37" i="1"/>
  <c r="BG37" i="1"/>
  <c r="BF37" i="1"/>
  <c r="BE37" i="1"/>
  <c r="BB37" i="1"/>
  <c r="BA37" i="1"/>
  <c r="AZ37" i="1"/>
  <c r="AY37" i="1"/>
  <c r="AX37" i="1"/>
  <c r="AW37" i="1"/>
  <c r="AV37" i="1"/>
  <c r="AU37" i="1"/>
  <c r="AT37" i="1"/>
  <c r="AS37" i="1"/>
  <c r="AR37" i="1"/>
  <c r="AQ37" i="1"/>
  <c r="AN37" i="1"/>
  <c r="BI36" i="1"/>
  <c r="BH36" i="1"/>
  <c r="BG36" i="1"/>
  <c r="BF36" i="1"/>
  <c r="BE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N36" i="1"/>
  <c r="BI35" i="1"/>
  <c r="BH35" i="1"/>
  <c r="BG35" i="1"/>
  <c r="BF35" i="1"/>
  <c r="BE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N35" i="1"/>
  <c r="BI34" i="1"/>
  <c r="BH34" i="1"/>
  <c r="BG34" i="1"/>
  <c r="BF34" i="1"/>
  <c r="BE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N34" i="1"/>
  <c r="BI33" i="1"/>
  <c r="BH33" i="1"/>
  <c r="BG33" i="1"/>
  <c r="BF33" i="1"/>
  <c r="BE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N33" i="1"/>
  <c r="BI32" i="1"/>
  <c r="BH32" i="1"/>
  <c r="BG32" i="1"/>
  <c r="BF32" i="1"/>
  <c r="BE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N32" i="1"/>
  <c r="BI31" i="1"/>
  <c r="BH31" i="1"/>
  <c r="BG31" i="1"/>
  <c r="BF31" i="1"/>
  <c r="BE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I31" i="1" s="1"/>
  <c r="AN31" i="1"/>
  <c r="BI30" i="1"/>
  <c r="BH30" i="1"/>
  <c r="BG30" i="1"/>
  <c r="BF30" i="1"/>
  <c r="AJ30" i="1" s="1"/>
  <c r="BE30" i="1"/>
  <c r="BA30" i="1"/>
  <c r="AZ30" i="1"/>
  <c r="AY30" i="1"/>
  <c r="AX30" i="1"/>
  <c r="AW30" i="1"/>
  <c r="AV30" i="1"/>
  <c r="AN30" i="1"/>
  <c r="BI29" i="1"/>
  <c r="BH29" i="1"/>
  <c r="BG29" i="1"/>
  <c r="BF29" i="1"/>
  <c r="BE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N29" i="1"/>
  <c r="BI28" i="1"/>
  <c r="BH28" i="1"/>
  <c r="BG28" i="1"/>
  <c r="BF28" i="1"/>
  <c r="BE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N28" i="1"/>
  <c r="BI27" i="1"/>
  <c r="BH27" i="1"/>
  <c r="BG27" i="1"/>
  <c r="BF27" i="1"/>
  <c r="BE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I27" i="1" s="1"/>
  <c r="AN27" i="1"/>
  <c r="BI26" i="1"/>
  <c r="BH26" i="1"/>
  <c r="BG26" i="1"/>
  <c r="BF26" i="1"/>
  <c r="BE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I26" i="1" s="1"/>
  <c r="AN26" i="1"/>
  <c r="BI25" i="1"/>
  <c r="BH25" i="1"/>
  <c r="BG25" i="1"/>
  <c r="BF25" i="1"/>
  <c r="BE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N25" i="1"/>
  <c r="BI24" i="1"/>
  <c r="BH24" i="1"/>
  <c r="BG24" i="1"/>
  <c r="BF24" i="1"/>
  <c r="BE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N24" i="1"/>
  <c r="BI23" i="1"/>
  <c r="BH23" i="1"/>
  <c r="BG23" i="1"/>
  <c r="BF23" i="1"/>
  <c r="BE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N23" i="1"/>
  <c r="BI22" i="1"/>
  <c r="BH22" i="1"/>
  <c r="BG22" i="1"/>
  <c r="BF22" i="1"/>
  <c r="BE22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I22" i="1" s="1"/>
  <c r="AN22" i="1"/>
  <c r="BI21" i="1"/>
  <c r="BH21" i="1"/>
  <c r="BG21" i="1"/>
  <c r="BF21" i="1"/>
  <c r="BE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N21" i="1"/>
  <c r="BI20" i="1"/>
  <c r="BH20" i="1"/>
  <c r="BG20" i="1"/>
  <c r="BF20" i="1"/>
  <c r="BE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N20" i="1"/>
  <c r="BI19" i="1"/>
  <c r="BH19" i="1"/>
  <c r="BG19" i="1"/>
  <c r="BF19" i="1"/>
  <c r="BE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N19" i="1"/>
  <c r="BI18" i="1"/>
  <c r="BH18" i="1"/>
  <c r="BG18" i="1"/>
  <c r="BF18" i="1"/>
  <c r="BE18" i="1"/>
  <c r="BB18" i="1"/>
  <c r="BA18" i="1"/>
  <c r="AZ18" i="1"/>
  <c r="AY18" i="1"/>
  <c r="AX18" i="1"/>
  <c r="AW18" i="1"/>
  <c r="AV18" i="1"/>
  <c r="AU18" i="1"/>
  <c r="AT18" i="1"/>
  <c r="AS18" i="1"/>
  <c r="AK18" i="1" s="1"/>
  <c r="AR18" i="1"/>
  <c r="AQ18" i="1"/>
  <c r="AN18" i="1"/>
  <c r="BI17" i="1"/>
  <c r="BH17" i="1"/>
  <c r="BG17" i="1"/>
  <c r="BF17" i="1"/>
  <c r="BE17" i="1"/>
  <c r="BB17" i="1"/>
  <c r="BA17" i="1"/>
  <c r="AZ17" i="1"/>
  <c r="AY17" i="1"/>
  <c r="AX17" i="1"/>
  <c r="AW17" i="1"/>
  <c r="AV17" i="1"/>
  <c r="AU17" i="1"/>
  <c r="AT17" i="1"/>
  <c r="AS17" i="1"/>
  <c r="AK17" i="1" s="1"/>
  <c r="AR17" i="1"/>
  <c r="AQ17" i="1"/>
  <c r="AN17" i="1"/>
  <c r="BI16" i="1"/>
  <c r="BH16" i="1"/>
  <c r="BG16" i="1"/>
  <c r="BF16" i="1"/>
  <c r="BE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N16" i="1"/>
  <c r="BI15" i="1"/>
  <c r="BH15" i="1"/>
  <c r="BG15" i="1"/>
  <c r="BF15" i="1"/>
  <c r="BE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N15" i="1"/>
  <c r="BI14" i="1"/>
  <c r="BH14" i="1"/>
  <c r="BG14" i="1"/>
  <c r="BF14" i="1"/>
  <c r="BE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N14" i="1"/>
  <c r="BI13" i="1"/>
  <c r="BH13" i="1"/>
  <c r="BG13" i="1"/>
  <c r="BF13" i="1"/>
  <c r="BE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N13" i="1"/>
  <c r="BI12" i="1"/>
  <c r="BH12" i="1"/>
  <c r="BG12" i="1"/>
  <c r="BF12" i="1"/>
  <c r="BE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N12" i="1"/>
  <c r="BI11" i="1"/>
  <c r="BH11" i="1"/>
  <c r="BG11" i="1"/>
  <c r="BF11" i="1"/>
  <c r="BE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N11" i="1"/>
  <c r="BI10" i="1"/>
  <c r="BH10" i="1"/>
  <c r="BG10" i="1"/>
  <c r="BF10" i="1"/>
  <c r="BE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N10" i="1"/>
  <c r="BI9" i="1"/>
  <c r="BH9" i="1"/>
  <c r="BG9" i="1"/>
  <c r="BF9" i="1"/>
  <c r="BE9" i="1"/>
  <c r="BB9" i="1"/>
  <c r="BA9" i="1"/>
  <c r="AZ9" i="1"/>
  <c r="AY9" i="1"/>
  <c r="AX9" i="1"/>
  <c r="AW9" i="1"/>
  <c r="AV9" i="1"/>
  <c r="AU9" i="1"/>
  <c r="AT9" i="1"/>
  <c r="AS9" i="1"/>
  <c r="AR9" i="1"/>
  <c r="AQ9" i="1"/>
  <c r="AN9" i="1"/>
  <c r="BI8" i="1"/>
  <c r="BH8" i="1"/>
  <c r="BG8" i="1"/>
  <c r="BF8" i="1"/>
  <c r="BE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BG7" i="1"/>
  <c r="BF7" i="1"/>
  <c r="BE7" i="1"/>
  <c r="BB7" i="1"/>
  <c r="BA7" i="1"/>
  <c r="AZ7" i="1"/>
  <c r="AY7" i="1"/>
  <c r="AX7" i="1"/>
  <c r="AW7" i="1"/>
  <c r="AV7" i="1"/>
  <c r="AU7" i="1"/>
  <c r="AM7" i="1" s="1"/>
  <c r="AT7" i="1"/>
  <c r="AL7" i="1" s="1"/>
  <c r="AS7" i="1"/>
  <c r="AK7" i="1" s="1"/>
  <c r="AR7" i="1"/>
  <c r="AJ7" i="1" s="1"/>
  <c r="AQ7" i="1"/>
  <c r="AP7" i="1"/>
  <c r="AO7" i="1"/>
  <c r="AN7" i="1"/>
  <c r="BG6" i="1"/>
  <c r="BF6" i="1"/>
  <c r="BE6" i="1"/>
  <c r="BB6" i="1"/>
  <c r="BA6" i="1"/>
  <c r="AL6" i="1" s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BG5" i="1"/>
  <c r="BF5" i="1"/>
  <c r="BE5" i="1"/>
  <c r="BB5" i="1"/>
  <c r="BA5" i="1"/>
  <c r="AL5" i="1" s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BG4" i="1"/>
  <c r="BF4" i="1"/>
  <c r="BE4" i="1"/>
  <c r="BB4" i="1"/>
  <c r="BA4" i="1"/>
  <c r="AL4" i="1" s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J47" i="1" l="1"/>
  <c r="AK44" i="1"/>
  <c r="AI44" i="1"/>
  <c r="AH7" i="1"/>
  <c r="AI35" i="1"/>
  <c r="AL35" i="1"/>
  <c r="AH35" i="1"/>
  <c r="AI30" i="1"/>
  <c r="AL16" i="1"/>
  <c r="AL15" i="1"/>
  <c r="AI25" i="1"/>
  <c r="AK37" i="1"/>
  <c r="AL32" i="1"/>
  <c r="AK47" i="1"/>
  <c r="AI47" i="1"/>
  <c r="AM47" i="1"/>
  <c r="AI34" i="1"/>
  <c r="AI33" i="1"/>
  <c r="AK33" i="1"/>
  <c r="AI29" i="1"/>
  <c r="AH22" i="1"/>
  <c r="AM33" i="1"/>
  <c r="AK29" i="1"/>
  <c r="AL29" i="1"/>
  <c r="AH28" i="1"/>
  <c r="AI21" i="1"/>
  <c r="AL27" i="1"/>
  <c r="AH17" i="1"/>
  <c r="AM36" i="1"/>
  <c r="AH37" i="1"/>
  <c r="AK32" i="1"/>
  <c r="AJ32" i="1"/>
  <c r="AI24" i="1"/>
  <c r="AJ38" i="1"/>
  <c r="AL21" i="1"/>
  <c r="AM29" i="1"/>
  <c r="AH4" i="1"/>
  <c r="AJ4" i="1"/>
  <c r="AH6" i="1"/>
  <c r="BH6" i="1" s="1"/>
  <c r="AI6" i="1"/>
  <c r="BI6" i="1" s="1"/>
  <c r="AM6" i="1"/>
  <c r="AJ17" i="1"/>
  <c r="AJ5" i="1"/>
  <c r="AH5" i="1"/>
  <c r="AI5" i="1"/>
  <c r="BI5" i="1" s="1"/>
  <c r="AM5" i="1"/>
  <c r="AH11" i="1"/>
  <c r="AJ33" i="1"/>
  <c r="AL31" i="1"/>
  <c r="AM16" i="1"/>
  <c r="W41" i="1"/>
  <c r="AK31" i="1"/>
  <c r="AH31" i="1"/>
  <c r="AF41" i="1"/>
  <c r="AK13" i="1"/>
  <c r="AM13" i="1"/>
  <c r="AD40" i="1"/>
  <c r="AM15" i="1"/>
  <c r="AI15" i="1"/>
  <c r="AH20" i="1"/>
  <c r="AJ20" i="1"/>
  <c r="AL20" i="1"/>
  <c r="AJ11" i="1"/>
  <c r="AJ26" i="1"/>
  <c r="Y41" i="1"/>
  <c r="X41" i="1"/>
  <c r="AK11" i="1"/>
  <c r="V41" i="1"/>
  <c r="AJ18" i="1"/>
  <c r="AK22" i="1"/>
  <c r="U41" i="1"/>
  <c r="Q41" i="1"/>
  <c r="R41" i="1"/>
  <c r="AK20" i="1"/>
  <c r="N40" i="1"/>
  <c r="AM24" i="1"/>
  <c r="M41" i="1"/>
  <c r="AH25" i="1"/>
  <c r="AM25" i="1"/>
  <c r="AJ15" i="1"/>
  <c r="K41" i="1"/>
  <c r="J41" i="1"/>
  <c r="AJ24" i="1"/>
  <c r="AJ13" i="1"/>
  <c r="AL22" i="1"/>
  <c r="AJ19" i="1"/>
  <c r="AI13" i="1"/>
  <c r="AL12" i="1"/>
  <c r="AL17" i="1"/>
  <c r="AI12" i="1"/>
  <c r="AK12" i="1"/>
  <c r="AL25" i="1"/>
  <c r="AJ23" i="1"/>
  <c r="AI16" i="1"/>
  <c r="AK16" i="1"/>
  <c r="AL18" i="1"/>
  <c r="AI14" i="1"/>
  <c r="AM14" i="1"/>
  <c r="AJ45" i="1"/>
  <c r="AM45" i="1"/>
  <c r="AH45" i="1"/>
  <c r="AI19" i="1"/>
  <c r="AL37" i="1"/>
  <c r="AL36" i="1"/>
  <c r="AI36" i="1"/>
  <c r="Y40" i="1"/>
  <c r="AL34" i="1"/>
  <c r="L41" i="1"/>
  <c r="AA41" i="1"/>
  <c r="Z40" i="1"/>
  <c r="AA40" i="1"/>
  <c r="AD41" i="1"/>
  <c r="AJ31" i="1"/>
  <c r="AL30" i="1"/>
  <c r="M40" i="1"/>
  <c r="AK28" i="1"/>
  <c r="AJ27" i="1"/>
  <c r="AM27" i="1"/>
  <c r="AM23" i="1"/>
  <c r="AI23" i="1"/>
  <c r="AK19" i="1"/>
  <c r="AM19" i="1"/>
  <c r="AL14" i="1"/>
  <c r="AJ14" i="1"/>
  <c r="I40" i="1"/>
  <c r="AF40" i="1"/>
  <c r="AI7" i="1"/>
  <c r="AE41" i="1"/>
  <c r="AE40" i="1"/>
  <c r="G41" i="1"/>
  <c r="AM10" i="1"/>
  <c r="G40" i="1"/>
  <c r="F41" i="1"/>
  <c r="E41" i="1"/>
  <c r="S40" i="1"/>
  <c r="AI9" i="1"/>
  <c r="AI17" i="1"/>
  <c r="AL23" i="1"/>
  <c r="AK26" i="1"/>
  <c r="AK27" i="1"/>
  <c r="D41" i="1"/>
  <c r="B41" i="1"/>
  <c r="AI18" i="1"/>
  <c r="AK25" i="1"/>
  <c r="AK34" i="1"/>
  <c r="AL13" i="1"/>
  <c r="AM21" i="1"/>
  <c r="AM22" i="1"/>
  <c r="AM31" i="1"/>
  <c r="AM32" i="1"/>
  <c r="AJ35" i="1"/>
  <c r="AJ36" i="1"/>
  <c r="AL10" i="1"/>
  <c r="AJ28" i="1"/>
  <c r="AI37" i="1"/>
  <c r="AL9" i="1"/>
  <c r="AM30" i="1"/>
  <c r="AJ10" i="1"/>
  <c r="AL19" i="1"/>
  <c r="P41" i="1"/>
  <c r="AB41" i="1"/>
  <c r="O40" i="1"/>
  <c r="U40" i="1"/>
  <c r="H41" i="1"/>
  <c r="N41" i="1"/>
  <c r="N62" i="1" s="1"/>
  <c r="T41" i="1"/>
  <c r="Z41" i="1"/>
  <c r="AK15" i="1"/>
  <c r="AK24" i="1"/>
  <c r="AJ25" i="1"/>
  <c r="AM28" i="1"/>
  <c r="AI32" i="1"/>
  <c r="AK10" i="1"/>
  <c r="AK23" i="1"/>
  <c r="AM18" i="1"/>
  <c r="AJ37" i="1"/>
  <c r="AK9" i="1"/>
  <c r="AJ9" i="1"/>
  <c r="AK36" i="1"/>
  <c r="AH34" i="1"/>
  <c r="AK35" i="1"/>
  <c r="C40" i="1"/>
  <c r="AH36" i="1"/>
  <c r="AH24" i="1"/>
  <c r="AH33" i="1"/>
  <c r="AI10" i="1"/>
  <c r="AK21" i="1"/>
  <c r="AL28" i="1"/>
  <c r="AH29" i="1"/>
  <c r="AI20" i="1"/>
  <c r="AH26" i="1"/>
  <c r="AK38" i="1"/>
  <c r="AM12" i="1"/>
  <c r="AM35" i="1"/>
  <c r="AK14" i="1"/>
  <c r="AM20" i="1"/>
  <c r="AM9" i="1"/>
  <c r="AL26" i="1"/>
  <c r="AI11" i="1"/>
  <c r="AH21" i="1"/>
  <c r="AL38" i="1"/>
  <c r="AJ16" i="1"/>
  <c r="AJ34" i="1"/>
  <c r="AL11" i="1"/>
  <c r="AH27" i="1"/>
  <c r="S41" i="1"/>
  <c r="AC41" i="1"/>
  <c r="T40" i="1"/>
  <c r="H40" i="1"/>
  <c r="AL24" i="1"/>
  <c r="AH15" i="1"/>
  <c r="AH16" i="1"/>
  <c r="AH32" i="1"/>
  <c r="AI38" i="1"/>
  <c r="E40" i="1"/>
  <c r="K40" i="1"/>
  <c r="Q40" i="1"/>
  <c r="W40" i="1"/>
  <c r="AC40" i="1"/>
  <c r="AJ12" i="1"/>
  <c r="AJ22" i="1"/>
  <c r="AH14" i="1"/>
  <c r="AH23" i="1"/>
  <c r="L40" i="1"/>
  <c r="R40" i="1"/>
  <c r="X40" i="1"/>
  <c r="AM26" i="1"/>
  <c r="AI28" i="1"/>
  <c r="AM34" i="1"/>
  <c r="AH12" i="1"/>
  <c r="AH13" i="1"/>
  <c r="AM17" i="1"/>
  <c r="AJ21" i="1"/>
  <c r="AL33" i="1"/>
  <c r="V40" i="1"/>
  <c r="AB40" i="1"/>
  <c r="C41" i="1"/>
  <c r="I41" i="1"/>
  <c r="O41" i="1"/>
  <c r="AJ29" i="1"/>
  <c r="AM37" i="1"/>
  <c r="AM11" i="1"/>
  <c r="AH9" i="1"/>
  <c r="AH10" i="1"/>
  <c r="AH18" i="1"/>
  <c r="AH19" i="1"/>
  <c r="AK30" i="1"/>
  <c r="AH38" i="1"/>
  <c r="AM38" i="1"/>
  <c r="AJ44" i="1"/>
  <c r="AK45" i="1"/>
  <c r="AI45" i="1"/>
  <c r="D40" i="1"/>
  <c r="P40" i="1"/>
  <c r="J40" i="1"/>
  <c r="B40" i="1"/>
  <c r="BH5" i="1"/>
  <c r="AI4" i="1"/>
  <c r="AK4" i="1"/>
  <c r="AK6" i="1"/>
  <c r="AM4" i="1"/>
  <c r="AK5" i="1"/>
  <c r="AJ6" i="1"/>
  <c r="BI4" i="1"/>
  <c r="BH4" i="1"/>
  <c r="BI7" i="1"/>
  <c r="BH7" i="1"/>
  <c r="F40" i="1"/>
  <c r="AF63" i="1" l="1"/>
  <c r="G63" i="1"/>
  <c r="G62" i="1"/>
  <c r="M63" i="1"/>
  <c r="AE62" i="1"/>
  <c r="AD62" i="1"/>
  <c r="AA62" i="1"/>
  <c r="AD63" i="1"/>
  <c r="Y62" i="1"/>
  <c r="Y63" i="1"/>
  <c r="S63" i="1"/>
  <c r="M62" i="1"/>
  <c r="I63" i="1"/>
  <c r="C63" i="1"/>
  <c r="Z62" i="1"/>
  <c r="S62" i="1"/>
  <c r="AA63" i="1"/>
  <c r="C62" i="1"/>
  <c r="AF62" i="1"/>
  <c r="AF64" i="1" s="1"/>
  <c r="AE63" i="1"/>
  <c r="B63" i="1"/>
  <c r="B62" i="1"/>
  <c r="D63" i="1"/>
  <c r="D62" i="1"/>
  <c r="X62" i="1"/>
  <c r="X63" i="1"/>
  <c r="AW41" i="1"/>
  <c r="P63" i="1"/>
  <c r="P62" i="1"/>
  <c r="R62" i="1"/>
  <c r="R63" i="1"/>
  <c r="AC62" i="1"/>
  <c r="AC63" i="1"/>
  <c r="AN41" i="1"/>
  <c r="BF41" i="1"/>
  <c r="AB63" i="1"/>
  <c r="AB62" i="1"/>
  <c r="L62" i="1"/>
  <c r="L63" i="1"/>
  <c r="W62" i="1"/>
  <c r="W63" i="1"/>
  <c r="AT41" i="1"/>
  <c r="N63" i="1"/>
  <c r="N64" i="1" s="1"/>
  <c r="F62" i="1"/>
  <c r="F63" i="1"/>
  <c r="V63" i="1"/>
  <c r="V62" i="1"/>
  <c r="Q62" i="1"/>
  <c r="Q63" i="1"/>
  <c r="Z63" i="1"/>
  <c r="U63" i="1"/>
  <c r="U62" i="1"/>
  <c r="I62" i="1"/>
  <c r="O63" i="1"/>
  <c r="O62" i="1"/>
  <c r="K62" i="1"/>
  <c r="K63" i="1"/>
  <c r="H62" i="1"/>
  <c r="H63" i="1"/>
  <c r="E62" i="1"/>
  <c r="E63" i="1"/>
  <c r="J63" i="1"/>
  <c r="J62" i="1"/>
  <c r="T62" i="1"/>
  <c r="T63" i="1"/>
  <c r="BG41" i="1"/>
  <c r="BD41" i="1"/>
  <c r="AU41" i="1"/>
  <c r="BB41" i="1"/>
  <c r="AL41" i="1" s="1"/>
  <c r="AV41" i="1"/>
  <c r="AO41" i="1"/>
  <c r="AQ41" i="1"/>
  <c r="BA41" i="1"/>
  <c r="AZ41" i="1"/>
  <c r="AY41" i="1"/>
  <c r="AR41" i="1"/>
  <c r="AS41" i="1"/>
  <c r="AX41" i="1"/>
  <c r="AP41" i="1"/>
  <c r="G64" i="1" l="1"/>
  <c r="C64" i="1"/>
  <c r="I64" i="1"/>
  <c r="D64" i="1"/>
  <c r="M64" i="1"/>
  <c r="AE64" i="1"/>
  <c r="AD64" i="1"/>
  <c r="AA64" i="1"/>
  <c r="AB64" i="1"/>
  <c r="Y64" i="1"/>
  <c r="W64" i="1"/>
  <c r="V64" i="1"/>
  <c r="U64" i="1"/>
  <c r="S64" i="1"/>
  <c r="K64" i="1"/>
  <c r="H64" i="1"/>
  <c r="Q64" i="1"/>
  <c r="X64" i="1"/>
  <c r="Z64" i="1"/>
  <c r="P64" i="1"/>
  <c r="B64" i="1"/>
  <c r="L64" i="1"/>
  <c r="T64" i="1"/>
  <c r="J64" i="1"/>
  <c r="AM41" i="1"/>
  <c r="AJ41" i="1"/>
  <c r="AK41" i="1"/>
  <c r="O64" i="1"/>
  <c r="E64" i="1"/>
  <c r="R64" i="1"/>
  <c r="AI41" i="1"/>
  <c r="AC64" i="1"/>
  <c r="AH41" i="1"/>
  <c r="F64" i="1"/>
</calcChain>
</file>

<file path=xl/sharedStrings.xml><?xml version="1.0" encoding="utf-8"?>
<sst xmlns="http://schemas.openxmlformats.org/spreadsheetml/2006/main" count="1005" uniqueCount="105">
  <si>
    <t>（順不同）</t>
    <rPh sb="1" eb="2">
      <t>ジュン</t>
    </rPh>
    <rPh sb="2" eb="4">
      <t>フドウ</t>
    </rPh>
    <phoneticPr fontId="5"/>
  </si>
  <si>
    <t>　　　　（特養）</t>
    <rPh sb="5" eb="6">
      <t>トク</t>
    </rPh>
    <rPh sb="6" eb="7">
      <t>ヨウ</t>
    </rPh>
    <phoneticPr fontId="5"/>
  </si>
  <si>
    <t>火</t>
  </si>
  <si>
    <t>水</t>
  </si>
  <si>
    <t>木</t>
  </si>
  <si>
    <t>金</t>
  </si>
  <si>
    <t>土</t>
  </si>
  <si>
    <t>日</t>
  </si>
  <si>
    <t>月</t>
  </si>
  <si>
    <t>夜勤</t>
    <rPh sb="0" eb="2">
      <t>ヤキン</t>
    </rPh>
    <phoneticPr fontId="5"/>
  </si>
  <si>
    <t>休日</t>
    <rPh sb="0" eb="2">
      <t>キュウジツ</t>
    </rPh>
    <phoneticPr fontId="5"/>
  </si>
  <si>
    <t>C₁</t>
  </si>
  <si>
    <t>C₂</t>
  </si>
  <si>
    <t>B₂</t>
  </si>
  <si>
    <t>遅₁</t>
  </si>
  <si>
    <t>遅₂</t>
  </si>
  <si>
    <t>F₁₂</t>
  </si>
  <si>
    <t>日₂B₂</t>
    <phoneticPr fontId="5"/>
  </si>
  <si>
    <t>F₁</t>
  </si>
  <si>
    <t>F₂</t>
  </si>
  <si>
    <t>1-1</t>
    <phoneticPr fontId="4"/>
  </si>
  <si>
    <t>1-2</t>
    <phoneticPr fontId="4"/>
  </si>
  <si>
    <t>1-3</t>
    <phoneticPr fontId="4"/>
  </si>
  <si>
    <t>1-4</t>
    <phoneticPr fontId="4"/>
  </si>
  <si>
    <t>1-5</t>
    <phoneticPr fontId="4"/>
  </si>
  <si>
    <t>五味　一也</t>
    <rPh sb="0" eb="2">
      <t>ゴミ</t>
    </rPh>
    <rPh sb="3" eb="5">
      <t>カズヤ</t>
    </rPh>
    <phoneticPr fontId="4"/>
  </si>
  <si>
    <t>伊藤　栄子</t>
    <rPh sb="0" eb="2">
      <t>イトウ</t>
    </rPh>
    <rPh sb="3" eb="5">
      <t>エイコ</t>
    </rPh>
    <phoneticPr fontId="4"/>
  </si>
  <si>
    <t>北脇　伸基</t>
    <rPh sb="0" eb="2">
      <t>キタワキ</t>
    </rPh>
    <rPh sb="3" eb="4">
      <t>ノブ</t>
    </rPh>
    <rPh sb="4" eb="5">
      <t>キ</t>
    </rPh>
    <phoneticPr fontId="4"/>
  </si>
  <si>
    <t>福岡　しのぶ</t>
    <rPh sb="0" eb="2">
      <t>フクオカ</t>
    </rPh>
    <phoneticPr fontId="4"/>
  </si>
  <si>
    <t>産休</t>
    <rPh sb="0" eb="2">
      <t>サンキュウ</t>
    </rPh>
    <phoneticPr fontId="4"/>
  </si>
  <si>
    <t>運営</t>
    <rPh sb="0" eb="2">
      <t>ウンエイ</t>
    </rPh>
    <phoneticPr fontId="4"/>
  </si>
  <si>
    <t>会議</t>
    <rPh sb="0" eb="2">
      <t>カイギ</t>
    </rPh>
    <phoneticPr fontId="4"/>
  </si>
  <si>
    <t>3</t>
    <phoneticPr fontId="4"/>
  </si>
  <si>
    <t>C₁</t>
    <phoneticPr fontId="5"/>
  </si>
  <si>
    <t>1</t>
    <phoneticPr fontId="4"/>
  </si>
  <si>
    <t>森川　美宝※</t>
    <rPh sb="0" eb="2">
      <t>モリカワ</t>
    </rPh>
    <rPh sb="3" eb="5">
      <t>ミホ</t>
    </rPh>
    <phoneticPr fontId="4"/>
  </si>
  <si>
    <t>4</t>
    <phoneticPr fontId="4"/>
  </si>
  <si>
    <t>辻本　友香</t>
    <rPh sb="0" eb="2">
      <t>ツジモト</t>
    </rPh>
    <rPh sb="3" eb="5">
      <t>ユカ</t>
    </rPh>
    <phoneticPr fontId="4"/>
  </si>
  <si>
    <t>2</t>
    <phoneticPr fontId="4"/>
  </si>
  <si>
    <t>西林　正人</t>
    <rPh sb="0" eb="2">
      <t>ニシバヤシ</t>
    </rPh>
    <rPh sb="3" eb="5">
      <t>マサト</t>
    </rPh>
    <phoneticPr fontId="4"/>
  </si>
  <si>
    <t>横山　治彦※</t>
    <rPh sb="0" eb="2">
      <t>ヨコヤマ</t>
    </rPh>
    <rPh sb="3" eb="5">
      <t>ハルヒコ</t>
    </rPh>
    <phoneticPr fontId="5"/>
  </si>
  <si>
    <t>梅森　絵里奈</t>
    <rPh sb="0" eb="2">
      <t>ウメモリ</t>
    </rPh>
    <rPh sb="3" eb="4">
      <t>エ</t>
    </rPh>
    <rPh sb="4" eb="5">
      <t>リ</t>
    </rPh>
    <rPh sb="5" eb="6">
      <t>ナ</t>
    </rPh>
    <phoneticPr fontId="4"/>
  </si>
  <si>
    <t>堀口　高志※</t>
    <rPh sb="0" eb="2">
      <t>ホリグチ</t>
    </rPh>
    <rPh sb="3" eb="4">
      <t>タカ</t>
    </rPh>
    <rPh sb="4" eb="5">
      <t>シ</t>
    </rPh>
    <phoneticPr fontId="4"/>
  </si>
  <si>
    <t>前田　益秀</t>
    <rPh sb="0" eb="2">
      <t>マエダ</t>
    </rPh>
    <rPh sb="3" eb="4">
      <t>マス</t>
    </rPh>
    <rPh sb="4" eb="5">
      <t>ヒデ</t>
    </rPh>
    <phoneticPr fontId="4"/>
  </si>
  <si>
    <t>高谷　和子</t>
    <rPh sb="0" eb="2">
      <t>タカタニ</t>
    </rPh>
    <rPh sb="3" eb="5">
      <t>カズコ</t>
    </rPh>
    <phoneticPr fontId="4"/>
  </si>
  <si>
    <t>天津　将博</t>
    <rPh sb="0" eb="2">
      <t>アマツ</t>
    </rPh>
    <rPh sb="3" eb="5">
      <t>マサヒロ</t>
    </rPh>
    <phoneticPr fontId="4"/>
  </si>
  <si>
    <t>藤井　政樹</t>
    <rPh sb="0" eb="2">
      <t>フジイ</t>
    </rPh>
    <rPh sb="3" eb="5">
      <t>マサキ</t>
    </rPh>
    <phoneticPr fontId="4"/>
  </si>
  <si>
    <t>小川　夏子※</t>
    <rPh sb="0" eb="2">
      <t>オガワ</t>
    </rPh>
    <rPh sb="3" eb="5">
      <t>ナツコ</t>
    </rPh>
    <phoneticPr fontId="4"/>
  </si>
  <si>
    <t>竹岡　千絵※</t>
    <rPh sb="0" eb="2">
      <t>タケオカ</t>
    </rPh>
    <rPh sb="3" eb="5">
      <t>チエ</t>
    </rPh>
    <phoneticPr fontId="4"/>
  </si>
  <si>
    <t>上窪　いづみ※</t>
    <rPh sb="0" eb="2">
      <t>ウエクボ</t>
    </rPh>
    <phoneticPr fontId="4"/>
  </si>
  <si>
    <t>中村　陽一</t>
    <rPh sb="0" eb="2">
      <t>ナカムラ</t>
    </rPh>
    <rPh sb="3" eb="5">
      <t>ヨウイチ</t>
    </rPh>
    <phoneticPr fontId="5"/>
  </si>
  <si>
    <t>吉田　誠二※</t>
    <rPh sb="0" eb="2">
      <t>ヨシダ</t>
    </rPh>
    <rPh sb="3" eb="5">
      <t>セイジ</t>
    </rPh>
    <phoneticPr fontId="4"/>
  </si>
  <si>
    <t>下田　智※</t>
    <rPh sb="0" eb="2">
      <t>シモダ</t>
    </rPh>
    <rPh sb="3" eb="4">
      <t>トモ</t>
    </rPh>
    <phoneticPr fontId="4"/>
  </si>
  <si>
    <t>村上　恵美</t>
    <rPh sb="0" eb="2">
      <t>ムラカミ</t>
    </rPh>
    <rPh sb="3" eb="5">
      <t>エミ</t>
    </rPh>
    <phoneticPr fontId="4"/>
  </si>
  <si>
    <t>松原　唯</t>
    <rPh sb="0" eb="2">
      <t>マツバラ</t>
    </rPh>
    <rPh sb="3" eb="4">
      <t>ユイ</t>
    </rPh>
    <phoneticPr fontId="4"/>
  </si>
  <si>
    <t>太田　美和</t>
    <rPh sb="0" eb="2">
      <t>オオタ</t>
    </rPh>
    <rPh sb="3" eb="5">
      <t>ミワ</t>
    </rPh>
    <phoneticPr fontId="4"/>
  </si>
  <si>
    <t>栗本　祐典</t>
    <rPh sb="0" eb="2">
      <t>クリモト</t>
    </rPh>
    <rPh sb="3" eb="4">
      <t>ユウ</t>
    </rPh>
    <rPh sb="4" eb="5">
      <t>テン</t>
    </rPh>
    <phoneticPr fontId="4"/>
  </si>
  <si>
    <t>鎰谷　真</t>
    <rPh sb="0" eb="2">
      <t>カギタニ</t>
    </rPh>
    <rPh sb="3" eb="4">
      <t>マコト</t>
    </rPh>
    <phoneticPr fontId="4"/>
  </si>
  <si>
    <t>鎰谷　理恵</t>
    <rPh sb="0" eb="2">
      <t>カギタニ</t>
    </rPh>
    <rPh sb="3" eb="5">
      <t>リエ</t>
    </rPh>
    <phoneticPr fontId="4"/>
  </si>
  <si>
    <t>芝　好美</t>
    <rPh sb="0" eb="1">
      <t>シバ</t>
    </rPh>
    <rPh sb="2" eb="4">
      <t>ヨシミ</t>
    </rPh>
    <phoneticPr fontId="5"/>
  </si>
  <si>
    <t>福井　惇</t>
    <rPh sb="0" eb="2">
      <t>フクイ</t>
    </rPh>
    <rPh sb="3" eb="4">
      <t>アツシ</t>
    </rPh>
    <phoneticPr fontId="4"/>
  </si>
  <si>
    <t>北脇　尚子</t>
    <rPh sb="0" eb="2">
      <t>キタワキ</t>
    </rPh>
    <rPh sb="3" eb="5">
      <t>ショウコ</t>
    </rPh>
    <phoneticPr fontId="4"/>
  </si>
  <si>
    <t>岸上　美佐代</t>
    <rPh sb="0" eb="2">
      <t>キシガミ</t>
    </rPh>
    <rPh sb="3" eb="6">
      <t>ミサヨ</t>
    </rPh>
    <phoneticPr fontId="4"/>
  </si>
  <si>
    <t>福井　真理</t>
    <rPh sb="0" eb="2">
      <t>フクイ</t>
    </rPh>
    <rPh sb="3" eb="5">
      <t>マリ</t>
    </rPh>
    <phoneticPr fontId="4"/>
  </si>
  <si>
    <t>阿部　知佳</t>
    <rPh sb="0" eb="2">
      <t>アベ</t>
    </rPh>
    <rPh sb="3" eb="5">
      <t>チカ</t>
    </rPh>
    <phoneticPr fontId="4"/>
  </si>
  <si>
    <t>高橋　佳奈</t>
    <rPh sb="0" eb="2">
      <t>タカハシ</t>
    </rPh>
    <rPh sb="3" eb="5">
      <t>カナ</t>
    </rPh>
    <phoneticPr fontId="4"/>
  </si>
  <si>
    <t>1階</t>
    <rPh sb="1" eb="2">
      <t>カイ</t>
    </rPh>
    <phoneticPr fontId="4"/>
  </si>
  <si>
    <t>2階</t>
    <rPh sb="1" eb="2">
      <t>カイ</t>
    </rPh>
    <phoneticPr fontId="4"/>
  </si>
  <si>
    <t>日₁B₁</t>
    <phoneticPr fontId="5"/>
  </si>
  <si>
    <t>日₂B₂</t>
  </si>
  <si>
    <t>F₁/₂</t>
    <phoneticPr fontId="5"/>
  </si>
  <si>
    <t>U₁</t>
    <phoneticPr fontId="5"/>
  </si>
  <si>
    <t>U₂</t>
    <phoneticPr fontId="5"/>
  </si>
  <si>
    <t>西畑　真由美</t>
    <rPh sb="0" eb="2">
      <t>ニシハタ</t>
    </rPh>
    <rPh sb="3" eb="6">
      <t>マユミ</t>
    </rPh>
    <phoneticPr fontId="4"/>
  </si>
  <si>
    <t>辻本　隆子</t>
    <rPh sb="0" eb="2">
      <t>ツジモト</t>
    </rPh>
    <rPh sb="3" eb="4">
      <t>タカ</t>
    </rPh>
    <rPh sb="4" eb="5">
      <t>コ</t>
    </rPh>
    <phoneticPr fontId="4"/>
  </si>
  <si>
    <t>10～16</t>
  </si>
  <si>
    <t>7～16</t>
    <phoneticPr fontId="4"/>
  </si>
  <si>
    <t>8～17</t>
    <phoneticPr fontId="4"/>
  </si>
  <si>
    <t>9～18</t>
    <phoneticPr fontId="4"/>
  </si>
  <si>
    <t>7～12</t>
    <phoneticPr fontId="4"/>
  </si>
  <si>
    <t>9～15</t>
    <phoneticPr fontId="4"/>
  </si>
  <si>
    <t>7：45～16：45</t>
    <phoneticPr fontId="4"/>
  </si>
  <si>
    <t>9：30～15：30</t>
    <phoneticPr fontId="4"/>
  </si>
  <si>
    <t>サブ</t>
    <phoneticPr fontId="4"/>
  </si>
  <si>
    <t>C₂</t>
    <phoneticPr fontId="5"/>
  </si>
  <si>
    <t>令和8年7月　　　勤務表</t>
    <rPh sb="0" eb="1">
      <t>レイ</t>
    </rPh>
    <rPh sb="1" eb="2">
      <t>ワ</t>
    </rPh>
    <rPh sb="3" eb="4">
      <t>ネン</t>
    </rPh>
    <rPh sb="5" eb="6">
      <t>ガツ</t>
    </rPh>
    <rPh sb="9" eb="11">
      <t>キンム</t>
    </rPh>
    <rPh sb="11" eb="12">
      <t>ヒョウ</t>
    </rPh>
    <phoneticPr fontId="5"/>
  </si>
  <si>
    <t>水</t>
    <rPh sb="0" eb="1">
      <t>スイ</t>
    </rPh>
    <phoneticPr fontId="4"/>
  </si>
  <si>
    <t>休</t>
    <rPh sb="0" eb="1">
      <t>キュウ</t>
    </rPh>
    <phoneticPr fontId="4"/>
  </si>
  <si>
    <t>C2</t>
    <phoneticPr fontId="4"/>
  </si>
  <si>
    <t>A</t>
    <phoneticPr fontId="5"/>
  </si>
  <si>
    <t>C1</t>
    <phoneticPr fontId="5"/>
  </si>
  <si>
    <t>9-15</t>
    <phoneticPr fontId="4"/>
  </si>
  <si>
    <t>研</t>
    <rPh sb="0" eb="1">
      <t>ケン</t>
    </rPh>
    <phoneticPr fontId="4"/>
  </si>
  <si>
    <t>A</t>
  </si>
  <si>
    <t>10～
15:30</t>
    <phoneticPr fontId="4"/>
  </si>
  <si>
    <t>10-16</t>
    <phoneticPr fontId="4"/>
  </si>
  <si>
    <t>10-12</t>
    <phoneticPr fontId="4"/>
  </si>
  <si>
    <t>9-13</t>
    <phoneticPr fontId="4"/>
  </si>
  <si>
    <t>9-14</t>
    <phoneticPr fontId="4"/>
  </si>
  <si>
    <t>誕生日</t>
    <rPh sb="0" eb="3">
      <t>タンジョウビ</t>
    </rPh>
    <phoneticPr fontId="4"/>
  </si>
  <si>
    <r>
      <rPr>
        <b/>
        <sz val="20"/>
        <rFont val="ＭＳ Ｐゴシック"/>
        <family val="3"/>
        <charset val="128"/>
      </rPr>
      <t>3</t>
    </r>
    <r>
      <rPr>
        <b/>
        <sz val="18"/>
        <rFont val="ＭＳ Ｐゴシック"/>
        <family val="3"/>
        <charset val="128"/>
      </rPr>
      <t>　　</t>
    </r>
    <r>
      <rPr>
        <b/>
        <sz val="16"/>
        <rFont val="ＭＳ Ｐゴシック"/>
        <family val="3"/>
        <charset val="128"/>
      </rPr>
      <t>シフト</t>
    </r>
    <phoneticPr fontId="4"/>
  </si>
  <si>
    <t>研修</t>
    <rPh sb="0" eb="2">
      <t>ケンシュウ</t>
    </rPh>
    <phoneticPr fontId="4"/>
  </si>
  <si>
    <t>車椅子</t>
    <rPh sb="0" eb="3">
      <t>クルマイス</t>
    </rPh>
    <phoneticPr fontId="4"/>
  </si>
  <si>
    <t>おやつレク</t>
    <phoneticPr fontId="4"/>
  </si>
  <si>
    <t>2gytou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</si>
</sst>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d;@"/>
    <numFmt numFmtId="177" formatCode="0_ "/>
  </numFmts>
  <fonts count="33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28"/>
      <name val="HG創英角ﾎﾟｯﾌﾟ体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6"/>
      <name val="ＭＳ Ｐゴシック"/>
      <family val="3"/>
      <charset val="128"/>
    </font>
    <font>
      <sz val="18"/>
      <name val="ＭＳ Ｐゴシック"/>
      <family val="3"/>
      <charset val="128"/>
    </font>
    <font>
      <sz val="20"/>
      <color theme="1"/>
      <name val="ＭＳ Ｐゴシック"/>
      <family val="2"/>
      <charset val="128"/>
      <scheme val="minor"/>
    </font>
    <font>
      <sz val="20"/>
      <color theme="1"/>
      <name val="ＭＳ Ｐゴシック"/>
      <family val="3"/>
      <charset val="128"/>
      <scheme val="minor"/>
    </font>
    <font>
      <sz val="16"/>
      <color theme="1"/>
      <name val="ＭＳ Ｐゴシック"/>
      <family val="2"/>
      <charset val="128"/>
      <scheme val="minor"/>
    </font>
    <font>
      <sz val="16"/>
      <color theme="1"/>
      <name val="ＭＳ Ｐゴシック"/>
      <family val="3"/>
      <charset val="128"/>
      <scheme val="minor"/>
    </font>
    <font>
      <b/>
      <sz val="16"/>
      <color theme="1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6"/>
      <color theme="1"/>
      <name val="ＭＳ Ｐゴシック"/>
      <family val="3"/>
      <charset val="128"/>
      <scheme val="minor"/>
    </font>
    <font>
      <b/>
      <sz val="22"/>
      <name val="ＭＳ Ｐゴシック"/>
      <family val="3"/>
      <charset val="128"/>
    </font>
    <font>
      <b/>
      <sz val="22"/>
      <color theme="1"/>
      <name val="ＭＳ Ｐゴシック"/>
      <family val="3"/>
      <charset val="128"/>
    </font>
    <font>
      <b/>
      <sz val="20"/>
      <name val="ＭＳ Ｐゴシック"/>
      <family val="3"/>
      <charset val="128"/>
    </font>
    <font>
      <b/>
      <sz val="18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18"/>
      <name val="BIZ UDPゴシック"/>
      <family val="3"/>
      <charset val="128"/>
    </font>
    <font>
      <b/>
      <sz val="22"/>
      <color rgb="FFFF0000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22"/>
      <color theme="1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28"/>
      <name val="ＭＳ Ｐゴシック"/>
      <family val="3"/>
      <charset val="128"/>
    </font>
    <font>
      <sz val="11"/>
      <name val="HG創英角ｺﾞｼｯｸUB"/>
      <family val="3"/>
      <charset val="128"/>
    </font>
    <font>
      <sz val="14"/>
      <color theme="1"/>
      <name val="ＭＳ Ｐゴシック"/>
      <family val="2"/>
      <charset val="128"/>
      <scheme val="minor"/>
    </font>
    <font>
      <sz val="26"/>
      <name val="ＭＳ Ｐゴシック"/>
      <family val="3"/>
      <charset val="128"/>
    </font>
    <font>
      <sz val="26"/>
      <color theme="1"/>
      <name val="ＭＳ Ｐゴシック"/>
      <family val="2"/>
      <charset val="128"/>
      <scheme val="minor"/>
    </font>
    <font>
      <b/>
      <sz val="26"/>
      <name val="ＭＳ Ｐゴシック"/>
      <family val="3"/>
      <charset val="128"/>
    </font>
    <font>
      <sz val="26"/>
      <color theme="1"/>
      <name val="ＭＳ Ｐゴシック"/>
      <family val="3"/>
      <charset val="128"/>
      <scheme val="minor"/>
    </font>
    <font>
      <b/>
      <sz val="22"/>
      <color theme="0"/>
      <name val="ＭＳ Ｐ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/>
    <xf numFmtId="0" fontId="2" fillId="0" borderId="0"/>
  </cellStyleXfs>
  <cellXfs count="146">
    <xf numFmtId="0" fontId="0" fillId="0" borderId="0" xfId="0">
      <alignment vertical="center"/>
    </xf>
    <xf numFmtId="0" fontId="2" fillId="0" borderId="0" xfId="2"/>
    <xf numFmtId="0" fontId="6" fillId="0" borderId="0" xfId="2" applyFont="1"/>
    <xf numFmtId="0" fontId="2" fillId="2" borderId="2" xfId="2" applyFill="1" applyBorder="1"/>
    <xf numFmtId="176" fontId="7" fillId="2" borderId="3" xfId="2" applyNumberFormat="1" applyFont="1" applyFill="1" applyBorder="1" applyAlignment="1">
      <alignment horizontal="center" shrinkToFit="1"/>
    </xf>
    <xf numFmtId="176" fontId="7" fillId="0" borderId="4" xfId="2" applyNumberFormat="1" applyFont="1" applyBorder="1" applyAlignment="1">
      <alignment horizontal="center" shrinkToFit="1"/>
    </xf>
    <xf numFmtId="0" fontId="0" fillId="0" borderId="4" xfId="0" applyBorder="1" applyAlignment="1"/>
    <xf numFmtId="0" fontId="0" fillId="0" borderId="3" xfId="0" applyBorder="1" applyAlignment="1"/>
    <xf numFmtId="0" fontId="0" fillId="0" borderId="0" xfId="0" applyAlignment="1"/>
    <xf numFmtId="56" fontId="0" fillId="0" borderId="0" xfId="0" applyNumberFormat="1" applyAlignment="1"/>
    <xf numFmtId="0" fontId="6" fillId="2" borderId="5" xfId="2" applyFont="1" applyFill="1" applyBorder="1"/>
    <xf numFmtId="0" fontId="7" fillId="2" borderId="3" xfId="2" applyFont="1" applyFill="1" applyBorder="1" applyAlignment="1">
      <alignment horizontal="center" vertical="center"/>
    </xf>
    <xf numFmtId="0" fontId="7" fillId="2" borderId="4" xfId="2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11" fillId="3" borderId="0" xfId="0" applyFont="1" applyFill="1" applyAlignment="1"/>
    <xf numFmtId="0" fontId="11" fillId="0" borderId="0" xfId="0" applyFont="1" applyAlignment="1"/>
    <xf numFmtId="49" fontId="12" fillId="2" borderId="2" xfId="0" applyNumberFormat="1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14" fillId="0" borderId="0" xfId="0" applyNumberFormat="1" applyFont="1">
      <alignment vertical="center"/>
    </xf>
    <xf numFmtId="49" fontId="0" fillId="0" borderId="0" xfId="0" applyNumberFormat="1">
      <alignment vertical="center"/>
    </xf>
    <xf numFmtId="0" fontId="7" fillId="0" borderId="3" xfId="2" applyFont="1" applyBorder="1"/>
    <xf numFmtId="0" fontId="15" fillId="2" borderId="2" xfId="0" applyFont="1" applyFill="1" applyBorder="1" applyAlignment="1">
      <alignment horizontal="center"/>
    </xf>
    <xf numFmtId="49" fontId="15" fillId="2" borderId="3" xfId="0" applyNumberFormat="1" applyFont="1" applyFill="1" applyBorder="1" applyAlignment="1">
      <alignment horizontal="center"/>
    </xf>
    <xf numFmtId="49" fontId="15" fillId="2" borderId="2" xfId="0" applyNumberFormat="1" applyFont="1" applyFill="1" applyBorder="1" applyAlignment="1">
      <alignment horizontal="center"/>
    </xf>
    <xf numFmtId="49" fontId="16" fillId="2" borderId="3" xfId="0" applyNumberFormat="1" applyFont="1" applyFill="1" applyBorder="1" applyAlignment="1">
      <alignment horizontal="center"/>
    </xf>
    <xf numFmtId="0" fontId="15" fillId="2" borderId="3" xfId="0" applyFont="1" applyFill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7" fillId="2" borderId="3" xfId="0" applyFont="1" applyFill="1" applyBorder="1" applyAlignment="1"/>
    <xf numFmtId="0" fontId="7" fillId="2" borderId="3" xfId="2" applyFont="1" applyFill="1" applyBorder="1"/>
    <xf numFmtId="0" fontId="17" fillId="2" borderId="2" xfId="0" applyFont="1" applyFill="1" applyBorder="1" applyAlignment="1">
      <alignment horizontal="center"/>
    </xf>
    <xf numFmtId="0" fontId="7" fillId="2" borderId="2" xfId="2" applyFont="1" applyFill="1" applyBorder="1"/>
    <xf numFmtId="49" fontId="17" fillId="2" borderId="3" xfId="0" applyNumberFormat="1" applyFont="1" applyFill="1" applyBorder="1" applyAlignment="1">
      <alignment horizontal="center" vertical="center"/>
    </xf>
    <xf numFmtId="49" fontId="17" fillId="2" borderId="3" xfId="0" applyNumberFormat="1" applyFont="1" applyFill="1" applyBorder="1" applyAlignment="1">
      <alignment horizontal="center"/>
    </xf>
    <xf numFmtId="0" fontId="17" fillId="2" borderId="3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/>
    </xf>
    <xf numFmtId="0" fontId="19" fillId="2" borderId="3" xfId="0" applyFont="1" applyFill="1" applyBorder="1" applyAlignment="1">
      <alignment horizontal="center" wrapText="1"/>
    </xf>
    <xf numFmtId="0" fontId="17" fillId="2" borderId="3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wrapText="1"/>
    </xf>
    <xf numFmtId="49" fontId="16" fillId="2" borderId="2" xfId="0" applyNumberFormat="1" applyFont="1" applyFill="1" applyBorder="1" applyAlignment="1">
      <alignment horizontal="center"/>
    </xf>
    <xf numFmtId="0" fontId="20" fillId="2" borderId="3" xfId="2" applyFont="1" applyFill="1" applyBorder="1"/>
    <xf numFmtId="0" fontId="16" fillId="2" borderId="3" xfId="0" applyFont="1" applyFill="1" applyBorder="1" applyAlignment="1">
      <alignment horizontal="center"/>
    </xf>
    <xf numFmtId="49" fontId="15" fillId="0" borderId="3" xfId="0" applyNumberFormat="1" applyFont="1" applyBorder="1" applyAlignment="1">
      <alignment horizontal="center"/>
    </xf>
    <xf numFmtId="9" fontId="20" fillId="2" borderId="2" xfId="1" applyFont="1" applyFill="1" applyBorder="1" applyAlignment="1"/>
    <xf numFmtId="49" fontId="23" fillId="0" borderId="2" xfId="0" applyNumberFormat="1" applyFont="1" applyBorder="1" applyAlignment="1">
      <alignment horizontal="center"/>
    </xf>
    <xf numFmtId="0" fontId="20" fillId="2" borderId="2" xfId="2" applyFont="1" applyFill="1" applyBorder="1"/>
    <xf numFmtId="0" fontId="15" fillId="0" borderId="0" xfId="0" applyFont="1" applyAlignment="1">
      <alignment horizontal="center"/>
    </xf>
    <xf numFmtId="49" fontId="18" fillId="2" borderId="2" xfId="0" applyNumberFormat="1" applyFont="1" applyFill="1" applyBorder="1" applyAlignment="1">
      <alignment horizontal="center"/>
    </xf>
    <xf numFmtId="0" fontId="13" fillId="0" borderId="3" xfId="0" applyFont="1" applyBorder="1" applyAlignment="1">
      <alignment horizontal="center"/>
    </xf>
    <xf numFmtId="176" fontId="7" fillId="2" borderId="4" xfId="2" applyNumberFormat="1" applyFont="1" applyFill="1" applyBorder="1" applyAlignment="1">
      <alignment horizontal="center" shrinkToFit="1"/>
    </xf>
    <xf numFmtId="0" fontId="9" fillId="0" borderId="4" xfId="0" applyFont="1" applyBorder="1" applyAlignment="1"/>
    <xf numFmtId="0" fontId="9" fillId="0" borderId="3" xfId="0" applyFont="1" applyBorder="1" applyAlignment="1"/>
    <xf numFmtId="0" fontId="7" fillId="0" borderId="5" xfId="2" applyFont="1" applyBorder="1"/>
    <xf numFmtId="0" fontId="9" fillId="3" borderId="4" xfId="0" applyFont="1" applyFill="1" applyBorder="1" applyAlignment="1">
      <alignment horizontal="center" vertical="center"/>
    </xf>
    <xf numFmtId="0" fontId="13" fillId="0" borderId="3" xfId="0" applyFont="1" applyBorder="1" applyAlignment="1">
      <alignment horizontal="center" shrinkToFit="1"/>
    </xf>
    <xf numFmtId="0" fontId="13" fillId="0" borderId="0" xfId="3" applyFont="1" applyAlignment="1">
      <alignment horizontal="center"/>
    </xf>
    <xf numFmtId="0" fontId="13" fillId="0" borderId="0" xfId="0" applyFont="1" applyAlignment="1">
      <alignment horizontal="center"/>
    </xf>
    <xf numFmtId="0" fontId="18" fillId="0" borderId="3" xfId="2" applyFont="1" applyBorder="1"/>
    <xf numFmtId="0" fontId="17" fillId="0" borderId="3" xfId="2" applyFont="1" applyBorder="1"/>
    <xf numFmtId="0" fontId="15" fillId="3" borderId="0" xfId="0" applyFont="1" applyFill="1" applyAlignment="1">
      <alignment horizontal="center"/>
    </xf>
    <xf numFmtId="0" fontId="15" fillId="4" borderId="0" xfId="0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0" fontId="6" fillId="2" borderId="3" xfId="2" applyFont="1" applyFill="1" applyBorder="1"/>
    <xf numFmtId="176" fontId="24" fillId="2" borderId="3" xfId="2" applyNumberFormat="1" applyFont="1" applyFill="1" applyBorder="1" applyAlignment="1">
      <alignment horizontal="center" shrinkToFit="1"/>
    </xf>
    <xf numFmtId="176" fontId="24" fillId="2" borderId="4" xfId="2" applyNumberFormat="1" applyFont="1" applyFill="1" applyBorder="1" applyAlignment="1">
      <alignment horizontal="center" shrinkToFit="1"/>
    </xf>
    <xf numFmtId="0" fontId="18" fillId="5" borderId="3" xfId="0" applyFont="1" applyFill="1" applyBorder="1" applyAlignment="1">
      <alignment horizontal="center"/>
    </xf>
    <xf numFmtId="0" fontId="22" fillId="5" borderId="3" xfId="0" applyFont="1" applyFill="1" applyBorder="1" applyAlignment="1">
      <alignment horizontal="center" wrapText="1"/>
    </xf>
    <xf numFmtId="0" fontId="7" fillId="2" borderId="3" xfId="2" applyFont="1" applyFill="1" applyBorder="1" applyAlignment="1">
      <alignment horizontal="center"/>
    </xf>
    <xf numFmtId="0" fontId="25" fillId="2" borderId="3" xfId="0" applyFont="1" applyFill="1" applyBorder="1" applyAlignment="1">
      <alignment horizontal="center"/>
    </xf>
    <xf numFmtId="0" fontId="26" fillId="0" borderId="0" xfId="2" applyFont="1"/>
    <xf numFmtId="0" fontId="19" fillId="0" borderId="0" xfId="0" applyFont="1" applyAlignment="1">
      <alignment horizontal="center"/>
    </xf>
    <xf numFmtId="0" fontId="27" fillId="0" borderId="0" xfId="0" applyFont="1" applyAlignment="1"/>
    <xf numFmtId="0" fontId="19" fillId="0" borderId="0" xfId="2" applyFont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0" borderId="0" xfId="0" applyFont="1" applyAlignment="1">
      <alignment horizontal="left"/>
    </xf>
    <xf numFmtId="49" fontId="28" fillId="6" borderId="0" xfId="0" applyNumberFormat="1" applyFont="1" applyFill="1" applyAlignment="1">
      <alignment horizontal="left"/>
    </xf>
    <xf numFmtId="0" fontId="29" fillId="6" borderId="0" xfId="0" applyFont="1" applyFill="1" applyAlignment="1"/>
    <xf numFmtId="0" fontId="2" fillId="2" borderId="0" xfId="2" applyFill="1"/>
    <xf numFmtId="0" fontId="28" fillId="7" borderId="0" xfId="0" applyFont="1" applyFill="1" applyAlignment="1">
      <alignment horizontal="left"/>
    </xf>
    <xf numFmtId="0" fontId="29" fillId="7" borderId="0" xfId="0" applyFont="1" applyFill="1" applyAlignment="1"/>
    <xf numFmtId="49" fontId="28" fillId="8" borderId="0" xfId="0" applyNumberFormat="1" applyFont="1" applyFill="1" applyAlignment="1">
      <alignment horizontal="left"/>
    </xf>
    <xf numFmtId="0" fontId="29" fillId="8" borderId="0" xfId="0" applyFont="1" applyFill="1" applyAlignment="1"/>
    <xf numFmtId="0" fontId="30" fillId="2" borderId="0" xfId="0" applyFont="1" applyFill="1" applyAlignment="1">
      <alignment horizontal="left"/>
    </xf>
    <xf numFmtId="0" fontId="29" fillId="2" borderId="0" xfId="0" applyFont="1" applyFill="1" applyAlignment="1"/>
    <xf numFmtId="49" fontId="28" fillId="9" borderId="0" xfId="0" applyNumberFormat="1" applyFont="1" applyFill="1" applyAlignment="1">
      <alignment horizontal="left"/>
    </xf>
    <xf numFmtId="0" fontId="29" fillId="9" borderId="0" xfId="0" applyFont="1" applyFill="1" applyAlignment="1"/>
    <xf numFmtId="0" fontId="28" fillId="10" borderId="0" xfId="0" applyFont="1" applyFill="1" applyAlignment="1">
      <alignment horizontal="left"/>
    </xf>
    <xf numFmtId="0" fontId="29" fillId="10" borderId="0" xfId="0" applyFont="1" applyFill="1" applyAlignment="1"/>
    <xf numFmtId="49" fontId="31" fillId="11" borderId="0" xfId="0" applyNumberFormat="1" applyFont="1" applyFill="1" applyAlignment="1">
      <alignment horizontal="left"/>
    </xf>
    <xf numFmtId="0" fontId="29" fillId="11" borderId="0" xfId="0" applyFont="1" applyFill="1" applyAlignment="1"/>
    <xf numFmtId="0" fontId="28" fillId="6" borderId="0" xfId="0" applyFont="1" applyFill="1" applyAlignment="1">
      <alignment horizontal="left"/>
    </xf>
    <xf numFmtId="49" fontId="31" fillId="0" borderId="0" xfId="0" applyNumberFormat="1" applyFont="1" applyAlignment="1">
      <alignment horizontal="left"/>
    </xf>
    <xf numFmtId="0" fontId="29" fillId="0" borderId="0" xfId="0" applyFont="1" applyAlignment="1"/>
    <xf numFmtId="0" fontId="31" fillId="12" borderId="0" xfId="0" applyFont="1" applyFill="1" applyAlignment="1">
      <alignment horizontal="left"/>
    </xf>
    <xf numFmtId="0" fontId="29" fillId="12" borderId="0" xfId="0" applyFont="1" applyFill="1" applyAlignment="1"/>
    <xf numFmtId="49" fontId="31" fillId="13" borderId="0" xfId="0" applyNumberFormat="1" applyFont="1" applyFill="1" applyAlignment="1"/>
    <xf numFmtId="0" fontId="29" fillId="13" borderId="0" xfId="0" applyFont="1" applyFill="1" applyAlignment="1"/>
    <xf numFmtId="0" fontId="31" fillId="14" borderId="0" xfId="0" applyFont="1" applyFill="1" applyAlignment="1"/>
    <xf numFmtId="0" fontId="29" fillId="14" borderId="0" xfId="0" applyFont="1" applyFill="1" applyAlignment="1"/>
    <xf numFmtId="0" fontId="31" fillId="0" borderId="0" xfId="0" applyFont="1" applyAlignment="1"/>
    <xf numFmtId="177" fontId="15" fillId="3" borderId="2" xfId="0" applyNumberFormat="1" applyFont="1" applyFill="1" applyBorder="1" applyAlignment="1">
      <alignment horizontal="center"/>
    </xf>
    <xf numFmtId="177" fontId="15" fillId="2" borderId="3" xfId="0" applyNumberFormat="1" applyFont="1" applyFill="1" applyBorder="1" applyAlignment="1">
      <alignment horizontal="center"/>
    </xf>
    <xf numFmtId="177" fontId="15" fillId="15" borderId="3" xfId="0" applyNumberFormat="1" applyFont="1" applyFill="1" applyBorder="1" applyAlignment="1">
      <alignment horizontal="center"/>
    </xf>
    <xf numFmtId="177" fontId="15" fillId="2" borderId="2" xfId="0" applyNumberFormat="1" applyFont="1" applyFill="1" applyBorder="1" applyAlignment="1">
      <alignment horizontal="center"/>
    </xf>
    <xf numFmtId="177" fontId="16" fillId="2" borderId="2" xfId="0" applyNumberFormat="1" applyFont="1" applyFill="1" applyBorder="1" applyAlignment="1">
      <alignment horizontal="center"/>
    </xf>
    <xf numFmtId="177" fontId="32" fillId="2" borderId="3" xfId="0" applyNumberFormat="1" applyFont="1" applyFill="1" applyBorder="1" applyAlignment="1">
      <alignment horizontal="center"/>
    </xf>
    <xf numFmtId="49" fontId="15" fillId="2" borderId="3" xfId="0" applyNumberFormat="1" applyFont="1" applyFill="1" applyBorder="1" applyAlignment="1">
      <alignment horizontal="center" vertical="center"/>
    </xf>
    <xf numFmtId="49" fontId="17" fillId="2" borderId="2" xfId="0" applyNumberFormat="1" applyFont="1" applyFill="1" applyBorder="1" applyAlignment="1">
      <alignment horizontal="center"/>
    </xf>
    <xf numFmtId="49" fontId="18" fillId="2" borderId="2" xfId="0" applyNumberFormat="1" applyFont="1" applyFill="1" applyBorder="1" applyAlignment="1">
      <alignment horizontal="center" wrapText="1"/>
    </xf>
    <xf numFmtId="49" fontId="17" fillId="2" borderId="2" xfId="0" applyNumberFormat="1" applyFont="1" applyFill="1" applyBorder="1" applyAlignment="1">
      <alignment horizontal="center" wrapText="1"/>
    </xf>
    <xf numFmtId="49" fontId="17" fillId="16" borderId="2" xfId="0" applyNumberFormat="1" applyFont="1" applyFill="1" applyBorder="1" applyAlignment="1">
      <alignment horizontal="center"/>
    </xf>
    <xf numFmtId="49" fontId="18" fillId="16" borderId="2" xfId="0" applyNumberFormat="1" applyFont="1" applyFill="1" applyBorder="1" applyAlignment="1">
      <alignment horizontal="center"/>
    </xf>
    <xf numFmtId="49" fontId="17" fillId="16" borderId="2" xfId="0" applyNumberFormat="1" applyFont="1" applyFill="1" applyBorder="1" applyAlignment="1">
      <alignment horizontal="center" wrapText="1"/>
    </xf>
    <xf numFmtId="49" fontId="18" fillId="16" borderId="2" xfId="0" applyNumberFormat="1" applyFont="1" applyFill="1" applyBorder="1" applyAlignment="1">
      <alignment horizontal="center" wrapText="1"/>
    </xf>
    <xf numFmtId="49" fontId="15" fillId="2" borderId="2" xfId="0" applyNumberFormat="1" applyFont="1" applyFill="1" applyBorder="1" applyAlignment="1">
      <alignment horizontal="center" wrapText="1"/>
    </xf>
    <xf numFmtId="49" fontId="17" fillId="3" borderId="2" xfId="0" applyNumberFormat="1" applyFont="1" applyFill="1" applyBorder="1" applyAlignment="1">
      <alignment horizontal="center"/>
    </xf>
    <xf numFmtId="0" fontId="19" fillId="2" borderId="3" xfId="0" applyFont="1" applyFill="1" applyBorder="1" applyAlignment="1">
      <alignment horizontal="center" vertical="center" wrapText="1"/>
    </xf>
    <xf numFmtId="0" fontId="15" fillId="16" borderId="2" xfId="0" applyFont="1" applyFill="1" applyBorder="1" applyAlignment="1">
      <alignment horizontal="center"/>
    </xf>
    <xf numFmtId="0" fontId="15" fillId="19" borderId="2" xfId="0" applyFont="1" applyFill="1" applyBorder="1" applyAlignment="1">
      <alignment horizontal="center"/>
    </xf>
    <xf numFmtId="0" fontId="15" fillId="4" borderId="3" xfId="0" applyFont="1" applyFill="1" applyBorder="1" applyAlignment="1">
      <alignment horizontal="center"/>
    </xf>
    <xf numFmtId="0" fontId="15" fillId="15" borderId="3" xfId="0" applyFont="1" applyFill="1" applyBorder="1" applyAlignment="1">
      <alignment horizontal="center"/>
    </xf>
    <xf numFmtId="0" fontId="15" fillId="3" borderId="2" xfId="0" applyFont="1" applyFill="1" applyBorder="1" applyAlignment="1">
      <alignment horizontal="center"/>
    </xf>
    <xf numFmtId="0" fontId="21" fillId="3" borderId="2" xfId="0" applyFont="1" applyFill="1" applyBorder="1" applyAlignment="1">
      <alignment horizontal="center"/>
    </xf>
    <xf numFmtId="0" fontId="15" fillId="17" borderId="2" xfId="0" applyFont="1" applyFill="1" applyBorder="1" applyAlignment="1">
      <alignment horizontal="center"/>
    </xf>
    <xf numFmtId="0" fontId="15" fillId="16" borderId="3" xfId="0" applyFont="1" applyFill="1" applyBorder="1" applyAlignment="1">
      <alignment horizontal="center"/>
    </xf>
    <xf numFmtId="0" fontId="15" fillId="3" borderId="3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15" fillId="18" borderId="3" xfId="0" applyFont="1" applyFill="1" applyBorder="1" applyAlignment="1">
      <alignment horizontal="center"/>
    </xf>
    <xf numFmtId="0" fontId="15" fillId="18" borderId="2" xfId="0" applyFont="1" applyFill="1" applyBorder="1" applyAlignment="1">
      <alignment horizontal="center"/>
    </xf>
    <xf numFmtId="0" fontId="15" fillId="17" borderId="3" xfId="0" applyFont="1" applyFill="1" applyBorder="1" applyAlignment="1">
      <alignment horizontal="center"/>
    </xf>
    <xf numFmtId="0" fontId="16" fillId="19" borderId="2" xfId="0" applyFont="1" applyFill="1" applyBorder="1" applyAlignment="1">
      <alignment horizontal="center"/>
    </xf>
    <xf numFmtId="0" fontId="15" fillId="3" borderId="2" xfId="0" applyFont="1" applyFill="1" applyBorder="1" applyAlignment="1">
      <alignment horizontal="center" wrapText="1"/>
    </xf>
    <xf numFmtId="0" fontId="16" fillId="16" borderId="2" xfId="0" applyFont="1" applyFill="1" applyBorder="1" applyAlignment="1">
      <alignment horizontal="center"/>
    </xf>
    <xf numFmtId="0" fontId="13" fillId="2" borderId="2" xfId="0" applyFont="1" applyFill="1" applyBorder="1" applyAlignment="1">
      <alignment horizontal="center" wrapText="1"/>
    </xf>
    <xf numFmtId="0" fontId="13" fillId="16" borderId="2" xfId="0" applyFont="1" applyFill="1" applyBorder="1" applyAlignment="1">
      <alignment horizontal="center" wrapText="1"/>
    </xf>
    <xf numFmtId="0" fontId="16" fillId="2" borderId="2" xfId="0" applyFont="1" applyFill="1" applyBorder="1" applyAlignment="1">
      <alignment horizontal="center"/>
    </xf>
    <xf numFmtId="0" fontId="3" fillId="0" borderId="1" xfId="2" applyFont="1" applyBorder="1" applyAlignment="1">
      <alignment horizontal="center"/>
    </xf>
  </cellXfs>
  <cellStyles count="4">
    <cellStyle name="パーセント" xfId="1" builtinId="5"/>
    <cellStyle name="標準" xfId="0" builtinId="0"/>
    <cellStyle name="標準 2" xfId="2" xr:uid="{FB8ED20E-294F-43F4-B1BF-FBFD2087E37E}"/>
    <cellStyle name="標準_特養勤務表" xfId="3" xr:uid="{69CD0EEC-81E0-4199-8482-613163B5DF03}"/>
  </cellStyles>
  <dxfs count="62">
    <dxf>
      <fill>
        <patternFill>
          <bgColor theme="7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228600</xdr:colOff>
      <xdr:row>61</xdr:row>
      <xdr:rowOff>223837</xdr:rowOff>
    </xdr:from>
    <xdr:to>
      <xdr:col>40</xdr:col>
      <xdr:colOff>0</xdr:colOff>
      <xdr:row>62</xdr:row>
      <xdr:rowOff>0</xdr:rowOff>
    </xdr:to>
    <xdr:sp macro="" textlink="">
      <xdr:nvSpPr>
        <xdr:cNvPr id="2" name="円/楕円 5">
          <a:extLst>
            <a:ext uri="{FF2B5EF4-FFF2-40B4-BE49-F238E27FC236}">
              <a16:creationId xmlns:a16="http://schemas.microsoft.com/office/drawing/2014/main" id="{4ABA0EF7-1E03-4468-92B8-EF940BE9E466}"/>
            </a:ext>
          </a:extLst>
        </xdr:cNvPr>
        <xdr:cNvSpPr/>
      </xdr:nvSpPr>
      <xdr:spPr>
        <a:xfrm>
          <a:off x="30784800" y="27455812"/>
          <a:ext cx="523875" cy="185738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37</xdr:col>
      <xdr:colOff>638172</xdr:colOff>
      <xdr:row>63</xdr:row>
      <xdr:rowOff>19050</xdr:rowOff>
    </xdr:from>
    <xdr:to>
      <xdr:col>38</xdr:col>
      <xdr:colOff>685797</xdr:colOff>
      <xdr:row>64</xdr:row>
      <xdr:rowOff>0</xdr:rowOff>
    </xdr:to>
    <xdr:sp macro="" textlink="">
      <xdr:nvSpPr>
        <xdr:cNvPr id="3" name="円/楕円 5">
          <a:extLst>
            <a:ext uri="{FF2B5EF4-FFF2-40B4-BE49-F238E27FC236}">
              <a16:creationId xmlns:a16="http://schemas.microsoft.com/office/drawing/2014/main" id="{C0F113F7-F579-4079-85B3-F0146A203559}"/>
            </a:ext>
          </a:extLst>
        </xdr:cNvPr>
        <xdr:cNvSpPr/>
      </xdr:nvSpPr>
      <xdr:spPr>
        <a:xfrm flipH="1">
          <a:off x="29689422" y="28070175"/>
          <a:ext cx="800100" cy="39052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kumimoji="1" lang="ja-JP" altLang="en-US" sz="1100"/>
            <a:t>変更</a:t>
          </a:r>
        </a:p>
      </xdr:txBody>
    </xdr:sp>
    <xdr:clientData/>
  </xdr:twoCellAnchor>
  <xdr:twoCellAnchor>
    <xdr:from>
      <xdr:col>38</xdr:col>
      <xdr:colOff>338136</xdr:colOff>
      <xdr:row>53</xdr:row>
      <xdr:rowOff>71437</xdr:rowOff>
    </xdr:from>
    <xdr:to>
      <xdr:col>39</xdr:col>
      <xdr:colOff>361950</xdr:colOff>
      <xdr:row>55</xdr:row>
      <xdr:rowOff>342900</xdr:rowOff>
    </xdr:to>
    <xdr:sp macro="" textlink="">
      <xdr:nvSpPr>
        <xdr:cNvPr id="4" name="円/楕円 5">
          <a:extLst>
            <a:ext uri="{FF2B5EF4-FFF2-40B4-BE49-F238E27FC236}">
              <a16:creationId xmlns:a16="http://schemas.microsoft.com/office/drawing/2014/main" id="{1114F437-79CF-472A-A477-F1C7B37188AB}"/>
            </a:ext>
          </a:extLst>
        </xdr:cNvPr>
        <xdr:cNvSpPr/>
      </xdr:nvSpPr>
      <xdr:spPr>
        <a:xfrm flipH="1">
          <a:off x="30141861" y="24026812"/>
          <a:ext cx="776289" cy="1090613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36</xdr:col>
      <xdr:colOff>47622</xdr:colOff>
      <xdr:row>51</xdr:row>
      <xdr:rowOff>1</xdr:rowOff>
    </xdr:from>
    <xdr:to>
      <xdr:col>37</xdr:col>
      <xdr:colOff>85722</xdr:colOff>
      <xdr:row>55</xdr:row>
      <xdr:rowOff>57150</xdr:rowOff>
    </xdr:to>
    <xdr:sp macro="" textlink="">
      <xdr:nvSpPr>
        <xdr:cNvPr id="5" name="円/楕円 5">
          <a:extLst>
            <a:ext uri="{FF2B5EF4-FFF2-40B4-BE49-F238E27FC236}">
              <a16:creationId xmlns:a16="http://schemas.microsoft.com/office/drawing/2014/main" id="{6A8AD9E9-461F-425A-88A9-17501DB57392}"/>
            </a:ext>
          </a:extLst>
        </xdr:cNvPr>
        <xdr:cNvSpPr/>
      </xdr:nvSpPr>
      <xdr:spPr>
        <a:xfrm flipH="1">
          <a:off x="28346397" y="23136226"/>
          <a:ext cx="790575" cy="169544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33</xdr:col>
      <xdr:colOff>714372</xdr:colOff>
      <xdr:row>51</xdr:row>
      <xdr:rowOff>381001</xdr:rowOff>
    </xdr:from>
    <xdr:to>
      <xdr:col>34</xdr:col>
      <xdr:colOff>752472</xdr:colOff>
      <xdr:row>57</xdr:row>
      <xdr:rowOff>19050</xdr:rowOff>
    </xdr:to>
    <xdr:sp macro="" textlink="">
      <xdr:nvSpPr>
        <xdr:cNvPr id="6" name="円/楕円 5">
          <a:extLst>
            <a:ext uri="{FF2B5EF4-FFF2-40B4-BE49-F238E27FC236}">
              <a16:creationId xmlns:a16="http://schemas.microsoft.com/office/drawing/2014/main" id="{3F4FD870-F131-4A5B-8A73-985AF05AC0ED}"/>
            </a:ext>
          </a:extLst>
        </xdr:cNvPr>
        <xdr:cNvSpPr/>
      </xdr:nvSpPr>
      <xdr:spPr>
        <a:xfrm flipH="1">
          <a:off x="26755722" y="23517226"/>
          <a:ext cx="790575" cy="209549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36</xdr:col>
      <xdr:colOff>200022</xdr:colOff>
      <xdr:row>55</xdr:row>
      <xdr:rowOff>361951</xdr:rowOff>
    </xdr:from>
    <xdr:to>
      <xdr:col>37</xdr:col>
      <xdr:colOff>238122</xdr:colOff>
      <xdr:row>61</xdr:row>
      <xdr:rowOff>247650</xdr:rowOff>
    </xdr:to>
    <xdr:sp macro="" textlink="">
      <xdr:nvSpPr>
        <xdr:cNvPr id="7" name="円/楕円 5">
          <a:extLst>
            <a:ext uri="{FF2B5EF4-FFF2-40B4-BE49-F238E27FC236}">
              <a16:creationId xmlns:a16="http://schemas.microsoft.com/office/drawing/2014/main" id="{E968BB57-3D87-4FB4-991C-6FBA4F3FC4F7}"/>
            </a:ext>
          </a:extLst>
        </xdr:cNvPr>
        <xdr:cNvSpPr/>
      </xdr:nvSpPr>
      <xdr:spPr>
        <a:xfrm flipH="1">
          <a:off x="28498797" y="25136476"/>
          <a:ext cx="790575" cy="234314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40</xdr:col>
      <xdr:colOff>0</xdr:colOff>
      <xdr:row>55</xdr:row>
      <xdr:rowOff>76201</xdr:rowOff>
    </xdr:from>
    <xdr:to>
      <xdr:col>42</xdr:col>
      <xdr:colOff>85722</xdr:colOff>
      <xdr:row>57</xdr:row>
      <xdr:rowOff>266700</xdr:rowOff>
    </xdr:to>
    <xdr:sp macro="" textlink="">
      <xdr:nvSpPr>
        <xdr:cNvPr id="8" name="円/楕円 5">
          <a:extLst>
            <a:ext uri="{FF2B5EF4-FFF2-40B4-BE49-F238E27FC236}">
              <a16:creationId xmlns:a16="http://schemas.microsoft.com/office/drawing/2014/main" id="{118BCEA6-89A3-491C-ACAC-AB3905EE2444}"/>
            </a:ext>
          </a:extLst>
        </xdr:cNvPr>
        <xdr:cNvSpPr/>
      </xdr:nvSpPr>
      <xdr:spPr>
        <a:xfrm flipH="1">
          <a:off x="31308675" y="24850726"/>
          <a:ext cx="761997" cy="100964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39</xdr:col>
      <xdr:colOff>228600</xdr:colOff>
      <xdr:row>61</xdr:row>
      <xdr:rowOff>223837</xdr:rowOff>
    </xdr:from>
    <xdr:to>
      <xdr:col>40</xdr:col>
      <xdr:colOff>0</xdr:colOff>
      <xdr:row>62</xdr:row>
      <xdr:rowOff>0</xdr:rowOff>
    </xdr:to>
    <xdr:sp macro="" textlink="">
      <xdr:nvSpPr>
        <xdr:cNvPr id="9" name="円/楕円 5">
          <a:extLst>
            <a:ext uri="{FF2B5EF4-FFF2-40B4-BE49-F238E27FC236}">
              <a16:creationId xmlns:a16="http://schemas.microsoft.com/office/drawing/2014/main" id="{637F6E92-3F0F-4488-939C-1C4BE234FEFE}"/>
            </a:ext>
          </a:extLst>
        </xdr:cNvPr>
        <xdr:cNvSpPr/>
      </xdr:nvSpPr>
      <xdr:spPr>
        <a:xfrm>
          <a:off x="30784800" y="27455812"/>
          <a:ext cx="523875" cy="185738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37</xdr:col>
      <xdr:colOff>638172</xdr:colOff>
      <xdr:row>63</xdr:row>
      <xdr:rowOff>19050</xdr:rowOff>
    </xdr:from>
    <xdr:to>
      <xdr:col>38</xdr:col>
      <xdr:colOff>685797</xdr:colOff>
      <xdr:row>64</xdr:row>
      <xdr:rowOff>0</xdr:rowOff>
    </xdr:to>
    <xdr:sp macro="" textlink="">
      <xdr:nvSpPr>
        <xdr:cNvPr id="10" name="円/楕円 5">
          <a:extLst>
            <a:ext uri="{FF2B5EF4-FFF2-40B4-BE49-F238E27FC236}">
              <a16:creationId xmlns:a16="http://schemas.microsoft.com/office/drawing/2014/main" id="{EDD0F0B3-42A5-431C-8D48-BE253A818B4E}"/>
            </a:ext>
          </a:extLst>
        </xdr:cNvPr>
        <xdr:cNvSpPr/>
      </xdr:nvSpPr>
      <xdr:spPr>
        <a:xfrm flipH="1">
          <a:off x="29689422" y="28070175"/>
          <a:ext cx="800100" cy="39052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kumimoji="1" lang="ja-JP" altLang="en-US" sz="1100"/>
            <a:t>変更</a:t>
          </a:r>
        </a:p>
      </xdr:txBody>
    </xdr:sp>
    <xdr:clientData/>
  </xdr:twoCellAnchor>
  <xdr:twoCellAnchor>
    <xdr:from>
      <xdr:col>38</xdr:col>
      <xdr:colOff>338136</xdr:colOff>
      <xdr:row>53</xdr:row>
      <xdr:rowOff>71437</xdr:rowOff>
    </xdr:from>
    <xdr:to>
      <xdr:col>39</xdr:col>
      <xdr:colOff>361950</xdr:colOff>
      <xdr:row>55</xdr:row>
      <xdr:rowOff>342900</xdr:rowOff>
    </xdr:to>
    <xdr:sp macro="" textlink="">
      <xdr:nvSpPr>
        <xdr:cNvPr id="11" name="円/楕円 5">
          <a:extLst>
            <a:ext uri="{FF2B5EF4-FFF2-40B4-BE49-F238E27FC236}">
              <a16:creationId xmlns:a16="http://schemas.microsoft.com/office/drawing/2014/main" id="{CA82D97F-EBDD-47BE-8004-9BD85666B27A}"/>
            </a:ext>
          </a:extLst>
        </xdr:cNvPr>
        <xdr:cNvSpPr/>
      </xdr:nvSpPr>
      <xdr:spPr>
        <a:xfrm flipH="1">
          <a:off x="30141861" y="24026812"/>
          <a:ext cx="776289" cy="1090613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36</xdr:col>
      <xdr:colOff>47622</xdr:colOff>
      <xdr:row>51</xdr:row>
      <xdr:rowOff>1</xdr:rowOff>
    </xdr:from>
    <xdr:to>
      <xdr:col>37</xdr:col>
      <xdr:colOff>85722</xdr:colOff>
      <xdr:row>55</xdr:row>
      <xdr:rowOff>57150</xdr:rowOff>
    </xdr:to>
    <xdr:sp macro="" textlink="">
      <xdr:nvSpPr>
        <xdr:cNvPr id="12" name="円/楕円 5">
          <a:extLst>
            <a:ext uri="{FF2B5EF4-FFF2-40B4-BE49-F238E27FC236}">
              <a16:creationId xmlns:a16="http://schemas.microsoft.com/office/drawing/2014/main" id="{88C05CFF-930A-4441-9249-55F7A54E7198}"/>
            </a:ext>
          </a:extLst>
        </xdr:cNvPr>
        <xdr:cNvSpPr/>
      </xdr:nvSpPr>
      <xdr:spPr>
        <a:xfrm flipH="1">
          <a:off x="28346397" y="23136226"/>
          <a:ext cx="790575" cy="169544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33</xdr:col>
      <xdr:colOff>714372</xdr:colOff>
      <xdr:row>51</xdr:row>
      <xdr:rowOff>381001</xdr:rowOff>
    </xdr:from>
    <xdr:to>
      <xdr:col>34</xdr:col>
      <xdr:colOff>752472</xdr:colOff>
      <xdr:row>57</xdr:row>
      <xdr:rowOff>19050</xdr:rowOff>
    </xdr:to>
    <xdr:sp macro="" textlink="">
      <xdr:nvSpPr>
        <xdr:cNvPr id="13" name="円/楕円 13">
          <a:extLst>
            <a:ext uri="{FF2B5EF4-FFF2-40B4-BE49-F238E27FC236}">
              <a16:creationId xmlns:a16="http://schemas.microsoft.com/office/drawing/2014/main" id="{17254DA6-1B15-4A29-922D-C7ECDE7D63DC}"/>
            </a:ext>
          </a:extLst>
        </xdr:cNvPr>
        <xdr:cNvSpPr/>
      </xdr:nvSpPr>
      <xdr:spPr>
        <a:xfrm flipH="1">
          <a:off x="26755722" y="23517226"/>
          <a:ext cx="790575" cy="209549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36</xdr:col>
      <xdr:colOff>200022</xdr:colOff>
      <xdr:row>55</xdr:row>
      <xdr:rowOff>361951</xdr:rowOff>
    </xdr:from>
    <xdr:to>
      <xdr:col>37</xdr:col>
      <xdr:colOff>238122</xdr:colOff>
      <xdr:row>61</xdr:row>
      <xdr:rowOff>247650</xdr:rowOff>
    </xdr:to>
    <xdr:sp macro="" textlink="">
      <xdr:nvSpPr>
        <xdr:cNvPr id="14" name="円/楕円 5">
          <a:extLst>
            <a:ext uri="{FF2B5EF4-FFF2-40B4-BE49-F238E27FC236}">
              <a16:creationId xmlns:a16="http://schemas.microsoft.com/office/drawing/2014/main" id="{FA107DF7-1588-433E-87C1-34FDCB448413}"/>
            </a:ext>
          </a:extLst>
        </xdr:cNvPr>
        <xdr:cNvSpPr/>
      </xdr:nvSpPr>
      <xdr:spPr>
        <a:xfrm flipH="1">
          <a:off x="28498797" y="25136476"/>
          <a:ext cx="790575" cy="234314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40</xdr:col>
      <xdr:colOff>0</xdr:colOff>
      <xdr:row>55</xdr:row>
      <xdr:rowOff>76201</xdr:rowOff>
    </xdr:from>
    <xdr:to>
      <xdr:col>42</xdr:col>
      <xdr:colOff>85722</xdr:colOff>
      <xdr:row>57</xdr:row>
      <xdr:rowOff>266700</xdr:rowOff>
    </xdr:to>
    <xdr:sp macro="" textlink="">
      <xdr:nvSpPr>
        <xdr:cNvPr id="15" name="円/楕円 5">
          <a:extLst>
            <a:ext uri="{FF2B5EF4-FFF2-40B4-BE49-F238E27FC236}">
              <a16:creationId xmlns:a16="http://schemas.microsoft.com/office/drawing/2014/main" id="{2CBEAA07-73A7-48B1-B96F-78B919E7FD62}"/>
            </a:ext>
          </a:extLst>
        </xdr:cNvPr>
        <xdr:cNvSpPr/>
      </xdr:nvSpPr>
      <xdr:spPr>
        <a:xfrm flipH="1">
          <a:off x="31308675" y="24850726"/>
          <a:ext cx="761997" cy="100964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39</xdr:col>
      <xdr:colOff>228600</xdr:colOff>
      <xdr:row>61</xdr:row>
      <xdr:rowOff>223837</xdr:rowOff>
    </xdr:from>
    <xdr:to>
      <xdr:col>40</xdr:col>
      <xdr:colOff>0</xdr:colOff>
      <xdr:row>62</xdr:row>
      <xdr:rowOff>0</xdr:rowOff>
    </xdr:to>
    <xdr:sp macro="" textlink="">
      <xdr:nvSpPr>
        <xdr:cNvPr id="16" name="円/楕円 5">
          <a:extLst>
            <a:ext uri="{FF2B5EF4-FFF2-40B4-BE49-F238E27FC236}">
              <a16:creationId xmlns:a16="http://schemas.microsoft.com/office/drawing/2014/main" id="{E905E69F-8FB2-46C4-B8FB-EFEDFA71FD38}"/>
            </a:ext>
          </a:extLst>
        </xdr:cNvPr>
        <xdr:cNvSpPr/>
      </xdr:nvSpPr>
      <xdr:spPr>
        <a:xfrm>
          <a:off x="30784800" y="27455812"/>
          <a:ext cx="523875" cy="185738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37</xdr:col>
      <xdr:colOff>638172</xdr:colOff>
      <xdr:row>63</xdr:row>
      <xdr:rowOff>19050</xdr:rowOff>
    </xdr:from>
    <xdr:to>
      <xdr:col>38</xdr:col>
      <xdr:colOff>685797</xdr:colOff>
      <xdr:row>64</xdr:row>
      <xdr:rowOff>0</xdr:rowOff>
    </xdr:to>
    <xdr:sp macro="" textlink="">
      <xdr:nvSpPr>
        <xdr:cNvPr id="17" name="円/楕円 5">
          <a:extLst>
            <a:ext uri="{FF2B5EF4-FFF2-40B4-BE49-F238E27FC236}">
              <a16:creationId xmlns:a16="http://schemas.microsoft.com/office/drawing/2014/main" id="{277C8CC4-E9BC-4A3F-8319-FD6E2F051830}"/>
            </a:ext>
          </a:extLst>
        </xdr:cNvPr>
        <xdr:cNvSpPr/>
      </xdr:nvSpPr>
      <xdr:spPr>
        <a:xfrm flipH="1">
          <a:off x="29689422" y="28070175"/>
          <a:ext cx="800100" cy="39052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kumimoji="1" lang="ja-JP" altLang="en-US" sz="1100"/>
            <a:t>変更</a:t>
          </a:r>
        </a:p>
      </xdr:txBody>
    </xdr:sp>
    <xdr:clientData/>
  </xdr:twoCellAnchor>
  <xdr:twoCellAnchor>
    <xdr:from>
      <xdr:col>38</xdr:col>
      <xdr:colOff>338136</xdr:colOff>
      <xdr:row>53</xdr:row>
      <xdr:rowOff>71437</xdr:rowOff>
    </xdr:from>
    <xdr:to>
      <xdr:col>39</xdr:col>
      <xdr:colOff>361950</xdr:colOff>
      <xdr:row>55</xdr:row>
      <xdr:rowOff>342900</xdr:rowOff>
    </xdr:to>
    <xdr:sp macro="" textlink="">
      <xdr:nvSpPr>
        <xdr:cNvPr id="18" name="円/楕円 5">
          <a:extLst>
            <a:ext uri="{FF2B5EF4-FFF2-40B4-BE49-F238E27FC236}">
              <a16:creationId xmlns:a16="http://schemas.microsoft.com/office/drawing/2014/main" id="{C3169177-9DA0-4217-873D-9AB9E476E48A}"/>
            </a:ext>
          </a:extLst>
        </xdr:cNvPr>
        <xdr:cNvSpPr/>
      </xdr:nvSpPr>
      <xdr:spPr>
        <a:xfrm flipH="1">
          <a:off x="30141861" y="24026812"/>
          <a:ext cx="776289" cy="1090613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36</xdr:col>
      <xdr:colOff>47622</xdr:colOff>
      <xdr:row>51</xdr:row>
      <xdr:rowOff>1</xdr:rowOff>
    </xdr:from>
    <xdr:to>
      <xdr:col>37</xdr:col>
      <xdr:colOff>85722</xdr:colOff>
      <xdr:row>55</xdr:row>
      <xdr:rowOff>57150</xdr:rowOff>
    </xdr:to>
    <xdr:sp macro="" textlink="">
      <xdr:nvSpPr>
        <xdr:cNvPr id="19" name="円/楕円 5">
          <a:extLst>
            <a:ext uri="{FF2B5EF4-FFF2-40B4-BE49-F238E27FC236}">
              <a16:creationId xmlns:a16="http://schemas.microsoft.com/office/drawing/2014/main" id="{D856A22D-69E7-4CB9-A24A-18C4054AE611}"/>
            </a:ext>
          </a:extLst>
        </xdr:cNvPr>
        <xdr:cNvSpPr/>
      </xdr:nvSpPr>
      <xdr:spPr>
        <a:xfrm flipH="1">
          <a:off x="28346397" y="23136226"/>
          <a:ext cx="790575" cy="169544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33</xdr:col>
      <xdr:colOff>714372</xdr:colOff>
      <xdr:row>51</xdr:row>
      <xdr:rowOff>381001</xdr:rowOff>
    </xdr:from>
    <xdr:to>
      <xdr:col>34</xdr:col>
      <xdr:colOff>752472</xdr:colOff>
      <xdr:row>57</xdr:row>
      <xdr:rowOff>19050</xdr:rowOff>
    </xdr:to>
    <xdr:sp macro="" textlink="">
      <xdr:nvSpPr>
        <xdr:cNvPr id="20" name="円/楕円 21">
          <a:extLst>
            <a:ext uri="{FF2B5EF4-FFF2-40B4-BE49-F238E27FC236}">
              <a16:creationId xmlns:a16="http://schemas.microsoft.com/office/drawing/2014/main" id="{F4FD603F-23CC-4604-BF39-24A8F9F6DBE9}"/>
            </a:ext>
          </a:extLst>
        </xdr:cNvPr>
        <xdr:cNvSpPr/>
      </xdr:nvSpPr>
      <xdr:spPr>
        <a:xfrm flipH="1">
          <a:off x="26755722" y="23517226"/>
          <a:ext cx="790575" cy="209549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36</xdr:col>
      <xdr:colOff>200022</xdr:colOff>
      <xdr:row>55</xdr:row>
      <xdr:rowOff>361951</xdr:rowOff>
    </xdr:from>
    <xdr:to>
      <xdr:col>37</xdr:col>
      <xdr:colOff>238122</xdr:colOff>
      <xdr:row>61</xdr:row>
      <xdr:rowOff>247650</xdr:rowOff>
    </xdr:to>
    <xdr:sp macro="" textlink="">
      <xdr:nvSpPr>
        <xdr:cNvPr id="21" name="円/楕円 5">
          <a:extLst>
            <a:ext uri="{FF2B5EF4-FFF2-40B4-BE49-F238E27FC236}">
              <a16:creationId xmlns:a16="http://schemas.microsoft.com/office/drawing/2014/main" id="{9DA7F268-3E87-49D9-90AB-BA8743570215}"/>
            </a:ext>
          </a:extLst>
        </xdr:cNvPr>
        <xdr:cNvSpPr/>
      </xdr:nvSpPr>
      <xdr:spPr>
        <a:xfrm flipH="1">
          <a:off x="28498797" y="25136476"/>
          <a:ext cx="790575" cy="234314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40</xdr:col>
      <xdr:colOff>0</xdr:colOff>
      <xdr:row>55</xdr:row>
      <xdr:rowOff>76201</xdr:rowOff>
    </xdr:from>
    <xdr:to>
      <xdr:col>42</xdr:col>
      <xdr:colOff>85722</xdr:colOff>
      <xdr:row>57</xdr:row>
      <xdr:rowOff>266700</xdr:rowOff>
    </xdr:to>
    <xdr:sp macro="" textlink="">
      <xdr:nvSpPr>
        <xdr:cNvPr id="22" name="円/楕円 5">
          <a:extLst>
            <a:ext uri="{FF2B5EF4-FFF2-40B4-BE49-F238E27FC236}">
              <a16:creationId xmlns:a16="http://schemas.microsoft.com/office/drawing/2014/main" id="{15CA46CD-46B1-42E5-8E5C-AAA0FABCB1BD}"/>
            </a:ext>
          </a:extLst>
        </xdr:cNvPr>
        <xdr:cNvSpPr/>
      </xdr:nvSpPr>
      <xdr:spPr>
        <a:xfrm flipH="1">
          <a:off x="31308675" y="24850726"/>
          <a:ext cx="761997" cy="100964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39</xdr:col>
      <xdr:colOff>228600</xdr:colOff>
      <xdr:row>61</xdr:row>
      <xdr:rowOff>223837</xdr:rowOff>
    </xdr:from>
    <xdr:to>
      <xdr:col>40</xdr:col>
      <xdr:colOff>0</xdr:colOff>
      <xdr:row>62</xdr:row>
      <xdr:rowOff>0</xdr:rowOff>
    </xdr:to>
    <xdr:sp macro="" textlink="">
      <xdr:nvSpPr>
        <xdr:cNvPr id="23" name="円/楕円 5">
          <a:extLst>
            <a:ext uri="{FF2B5EF4-FFF2-40B4-BE49-F238E27FC236}">
              <a16:creationId xmlns:a16="http://schemas.microsoft.com/office/drawing/2014/main" id="{8F86E209-B532-4E91-8490-20C26798880F}"/>
            </a:ext>
          </a:extLst>
        </xdr:cNvPr>
        <xdr:cNvSpPr/>
      </xdr:nvSpPr>
      <xdr:spPr>
        <a:xfrm>
          <a:off x="30784800" y="27455812"/>
          <a:ext cx="523875" cy="185738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37</xdr:col>
      <xdr:colOff>638172</xdr:colOff>
      <xdr:row>63</xdr:row>
      <xdr:rowOff>19050</xdr:rowOff>
    </xdr:from>
    <xdr:to>
      <xdr:col>38</xdr:col>
      <xdr:colOff>685797</xdr:colOff>
      <xdr:row>64</xdr:row>
      <xdr:rowOff>0</xdr:rowOff>
    </xdr:to>
    <xdr:sp macro="" textlink="">
      <xdr:nvSpPr>
        <xdr:cNvPr id="24" name="円/楕円 5">
          <a:extLst>
            <a:ext uri="{FF2B5EF4-FFF2-40B4-BE49-F238E27FC236}">
              <a16:creationId xmlns:a16="http://schemas.microsoft.com/office/drawing/2014/main" id="{448B9D13-9CBD-46E5-9486-34499FB04B15}"/>
            </a:ext>
          </a:extLst>
        </xdr:cNvPr>
        <xdr:cNvSpPr/>
      </xdr:nvSpPr>
      <xdr:spPr>
        <a:xfrm flipH="1">
          <a:off x="29689422" y="28070175"/>
          <a:ext cx="800100" cy="39052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kumimoji="1" lang="ja-JP" altLang="en-US" sz="1100"/>
            <a:t>変更</a:t>
          </a:r>
        </a:p>
      </xdr:txBody>
    </xdr:sp>
    <xdr:clientData/>
  </xdr:twoCellAnchor>
  <xdr:twoCellAnchor>
    <xdr:from>
      <xdr:col>38</xdr:col>
      <xdr:colOff>338136</xdr:colOff>
      <xdr:row>53</xdr:row>
      <xdr:rowOff>71437</xdr:rowOff>
    </xdr:from>
    <xdr:to>
      <xdr:col>39</xdr:col>
      <xdr:colOff>361950</xdr:colOff>
      <xdr:row>55</xdr:row>
      <xdr:rowOff>342900</xdr:rowOff>
    </xdr:to>
    <xdr:sp macro="" textlink="">
      <xdr:nvSpPr>
        <xdr:cNvPr id="25" name="円/楕円 5">
          <a:extLst>
            <a:ext uri="{FF2B5EF4-FFF2-40B4-BE49-F238E27FC236}">
              <a16:creationId xmlns:a16="http://schemas.microsoft.com/office/drawing/2014/main" id="{E87A1995-6C4E-46B5-8331-1107E19C33A8}"/>
            </a:ext>
          </a:extLst>
        </xdr:cNvPr>
        <xdr:cNvSpPr/>
      </xdr:nvSpPr>
      <xdr:spPr>
        <a:xfrm flipH="1">
          <a:off x="30141861" y="24026812"/>
          <a:ext cx="776289" cy="1090613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36</xdr:col>
      <xdr:colOff>47622</xdr:colOff>
      <xdr:row>51</xdr:row>
      <xdr:rowOff>1</xdr:rowOff>
    </xdr:from>
    <xdr:to>
      <xdr:col>37</xdr:col>
      <xdr:colOff>85722</xdr:colOff>
      <xdr:row>55</xdr:row>
      <xdr:rowOff>57150</xdr:rowOff>
    </xdr:to>
    <xdr:sp macro="" textlink="">
      <xdr:nvSpPr>
        <xdr:cNvPr id="26" name="円/楕円 5">
          <a:extLst>
            <a:ext uri="{FF2B5EF4-FFF2-40B4-BE49-F238E27FC236}">
              <a16:creationId xmlns:a16="http://schemas.microsoft.com/office/drawing/2014/main" id="{BFA4711F-F7BF-440E-8533-7C14867D8421}"/>
            </a:ext>
          </a:extLst>
        </xdr:cNvPr>
        <xdr:cNvSpPr/>
      </xdr:nvSpPr>
      <xdr:spPr>
        <a:xfrm flipH="1">
          <a:off x="28346397" y="23136226"/>
          <a:ext cx="790575" cy="169544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33</xdr:col>
      <xdr:colOff>714372</xdr:colOff>
      <xdr:row>51</xdr:row>
      <xdr:rowOff>381001</xdr:rowOff>
    </xdr:from>
    <xdr:to>
      <xdr:col>34</xdr:col>
      <xdr:colOff>752472</xdr:colOff>
      <xdr:row>57</xdr:row>
      <xdr:rowOff>19050</xdr:rowOff>
    </xdr:to>
    <xdr:sp macro="" textlink="">
      <xdr:nvSpPr>
        <xdr:cNvPr id="27" name="円/楕円 29">
          <a:extLst>
            <a:ext uri="{FF2B5EF4-FFF2-40B4-BE49-F238E27FC236}">
              <a16:creationId xmlns:a16="http://schemas.microsoft.com/office/drawing/2014/main" id="{45297047-CCC0-4599-A3D2-FC48D4CBA1D7}"/>
            </a:ext>
          </a:extLst>
        </xdr:cNvPr>
        <xdr:cNvSpPr/>
      </xdr:nvSpPr>
      <xdr:spPr>
        <a:xfrm flipH="1">
          <a:off x="26755722" y="23517226"/>
          <a:ext cx="790575" cy="209549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36</xdr:col>
      <xdr:colOff>200022</xdr:colOff>
      <xdr:row>55</xdr:row>
      <xdr:rowOff>361951</xdr:rowOff>
    </xdr:from>
    <xdr:to>
      <xdr:col>37</xdr:col>
      <xdr:colOff>238122</xdr:colOff>
      <xdr:row>61</xdr:row>
      <xdr:rowOff>247650</xdr:rowOff>
    </xdr:to>
    <xdr:sp macro="" textlink="">
      <xdr:nvSpPr>
        <xdr:cNvPr id="28" name="円/楕円 5">
          <a:extLst>
            <a:ext uri="{FF2B5EF4-FFF2-40B4-BE49-F238E27FC236}">
              <a16:creationId xmlns:a16="http://schemas.microsoft.com/office/drawing/2014/main" id="{925F538A-DED8-4658-9185-EDEF07E0423B}"/>
            </a:ext>
          </a:extLst>
        </xdr:cNvPr>
        <xdr:cNvSpPr/>
      </xdr:nvSpPr>
      <xdr:spPr>
        <a:xfrm flipH="1">
          <a:off x="28498797" y="25136476"/>
          <a:ext cx="790575" cy="234314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40</xdr:col>
      <xdr:colOff>0</xdr:colOff>
      <xdr:row>55</xdr:row>
      <xdr:rowOff>76201</xdr:rowOff>
    </xdr:from>
    <xdr:to>
      <xdr:col>42</xdr:col>
      <xdr:colOff>85722</xdr:colOff>
      <xdr:row>57</xdr:row>
      <xdr:rowOff>266700</xdr:rowOff>
    </xdr:to>
    <xdr:sp macro="" textlink="">
      <xdr:nvSpPr>
        <xdr:cNvPr id="29" name="円/楕円 5">
          <a:extLst>
            <a:ext uri="{FF2B5EF4-FFF2-40B4-BE49-F238E27FC236}">
              <a16:creationId xmlns:a16="http://schemas.microsoft.com/office/drawing/2014/main" id="{BC09BB84-0751-44AC-BDC9-4D662C0D23C3}"/>
            </a:ext>
          </a:extLst>
        </xdr:cNvPr>
        <xdr:cNvSpPr/>
      </xdr:nvSpPr>
      <xdr:spPr>
        <a:xfrm flipH="1">
          <a:off x="31308675" y="24850726"/>
          <a:ext cx="761997" cy="100964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39</xdr:col>
      <xdr:colOff>228600</xdr:colOff>
      <xdr:row>61</xdr:row>
      <xdr:rowOff>223837</xdr:rowOff>
    </xdr:from>
    <xdr:to>
      <xdr:col>40</xdr:col>
      <xdr:colOff>0</xdr:colOff>
      <xdr:row>62</xdr:row>
      <xdr:rowOff>0</xdr:rowOff>
    </xdr:to>
    <xdr:sp macro="" textlink="">
      <xdr:nvSpPr>
        <xdr:cNvPr id="30" name="円/楕円 5">
          <a:extLst>
            <a:ext uri="{FF2B5EF4-FFF2-40B4-BE49-F238E27FC236}">
              <a16:creationId xmlns:a16="http://schemas.microsoft.com/office/drawing/2014/main" id="{4926EC58-FB0D-4D5D-9CBD-C56E21B678CE}"/>
            </a:ext>
          </a:extLst>
        </xdr:cNvPr>
        <xdr:cNvSpPr/>
      </xdr:nvSpPr>
      <xdr:spPr>
        <a:xfrm>
          <a:off x="30784800" y="27455812"/>
          <a:ext cx="523875" cy="185738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37</xdr:col>
      <xdr:colOff>638172</xdr:colOff>
      <xdr:row>63</xdr:row>
      <xdr:rowOff>19050</xdr:rowOff>
    </xdr:from>
    <xdr:to>
      <xdr:col>38</xdr:col>
      <xdr:colOff>685797</xdr:colOff>
      <xdr:row>64</xdr:row>
      <xdr:rowOff>0</xdr:rowOff>
    </xdr:to>
    <xdr:sp macro="" textlink="">
      <xdr:nvSpPr>
        <xdr:cNvPr id="31" name="円/楕円 5">
          <a:extLst>
            <a:ext uri="{FF2B5EF4-FFF2-40B4-BE49-F238E27FC236}">
              <a16:creationId xmlns:a16="http://schemas.microsoft.com/office/drawing/2014/main" id="{3D0298CD-633D-43A6-AAB1-AA9DAE035251}"/>
            </a:ext>
          </a:extLst>
        </xdr:cNvPr>
        <xdr:cNvSpPr/>
      </xdr:nvSpPr>
      <xdr:spPr>
        <a:xfrm flipH="1">
          <a:off x="29689422" y="28070175"/>
          <a:ext cx="800100" cy="39052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kumimoji="1" lang="ja-JP" altLang="en-US" sz="1100"/>
            <a:t>変更</a:t>
          </a:r>
        </a:p>
      </xdr:txBody>
    </xdr:sp>
    <xdr:clientData/>
  </xdr:twoCellAnchor>
  <xdr:twoCellAnchor>
    <xdr:from>
      <xdr:col>38</xdr:col>
      <xdr:colOff>338136</xdr:colOff>
      <xdr:row>53</xdr:row>
      <xdr:rowOff>71437</xdr:rowOff>
    </xdr:from>
    <xdr:to>
      <xdr:col>39</xdr:col>
      <xdr:colOff>361950</xdr:colOff>
      <xdr:row>55</xdr:row>
      <xdr:rowOff>342900</xdr:rowOff>
    </xdr:to>
    <xdr:sp macro="" textlink="">
      <xdr:nvSpPr>
        <xdr:cNvPr id="32" name="円/楕円 5">
          <a:extLst>
            <a:ext uri="{FF2B5EF4-FFF2-40B4-BE49-F238E27FC236}">
              <a16:creationId xmlns:a16="http://schemas.microsoft.com/office/drawing/2014/main" id="{B756313E-74EC-416E-8D31-2187C359CD7B}"/>
            </a:ext>
          </a:extLst>
        </xdr:cNvPr>
        <xdr:cNvSpPr/>
      </xdr:nvSpPr>
      <xdr:spPr>
        <a:xfrm flipH="1">
          <a:off x="30141861" y="24026812"/>
          <a:ext cx="776289" cy="1090613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36</xdr:col>
      <xdr:colOff>47622</xdr:colOff>
      <xdr:row>51</xdr:row>
      <xdr:rowOff>1</xdr:rowOff>
    </xdr:from>
    <xdr:to>
      <xdr:col>37</xdr:col>
      <xdr:colOff>85722</xdr:colOff>
      <xdr:row>55</xdr:row>
      <xdr:rowOff>57150</xdr:rowOff>
    </xdr:to>
    <xdr:sp macro="" textlink="">
      <xdr:nvSpPr>
        <xdr:cNvPr id="33" name="円/楕円 5">
          <a:extLst>
            <a:ext uri="{FF2B5EF4-FFF2-40B4-BE49-F238E27FC236}">
              <a16:creationId xmlns:a16="http://schemas.microsoft.com/office/drawing/2014/main" id="{8C84D7D6-901E-4992-A972-1CC60B628323}"/>
            </a:ext>
          </a:extLst>
        </xdr:cNvPr>
        <xdr:cNvSpPr/>
      </xdr:nvSpPr>
      <xdr:spPr>
        <a:xfrm flipH="1">
          <a:off x="28346397" y="23136226"/>
          <a:ext cx="790575" cy="169544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33</xdr:col>
      <xdr:colOff>714372</xdr:colOff>
      <xdr:row>51</xdr:row>
      <xdr:rowOff>381001</xdr:rowOff>
    </xdr:from>
    <xdr:to>
      <xdr:col>34</xdr:col>
      <xdr:colOff>752472</xdr:colOff>
      <xdr:row>57</xdr:row>
      <xdr:rowOff>19050</xdr:rowOff>
    </xdr:to>
    <xdr:sp macro="" textlink="">
      <xdr:nvSpPr>
        <xdr:cNvPr id="34" name="円/楕円 37">
          <a:extLst>
            <a:ext uri="{FF2B5EF4-FFF2-40B4-BE49-F238E27FC236}">
              <a16:creationId xmlns:a16="http://schemas.microsoft.com/office/drawing/2014/main" id="{A4D03C55-5C4B-440B-B39A-B2BAE5AE7F3A}"/>
            </a:ext>
          </a:extLst>
        </xdr:cNvPr>
        <xdr:cNvSpPr/>
      </xdr:nvSpPr>
      <xdr:spPr>
        <a:xfrm flipH="1">
          <a:off x="26755722" y="23517226"/>
          <a:ext cx="790575" cy="209549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36</xdr:col>
      <xdr:colOff>200022</xdr:colOff>
      <xdr:row>55</xdr:row>
      <xdr:rowOff>361951</xdr:rowOff>
    </xdr:from>
    <xdr:to>
      <xdr:col>37</xdr:col>
      <xdr:colOff>238122</xdr:colOff>
      <xdr:row>61</xdr:row>
      <xdr:rowOff>247650</xdr:rowOff>
    </xdr:to>
    <xdr:sp macro="" textlink="">
      <xdr:nvSpPr>
        <xdr:cNvPr id="35" name="円/楕円 5">
          <a:extLst>
            <a:ext uri="{FF2B5EF4-FFF2-40B4-BE49-F238E27FC236}">
              <a16:creationId xmlns:a16="http://schemas.microsoft.com/office/drawing/2014/main" id="{03EBDCED-1191-452A-9AE5-2EE7D021E143}"/>
            </a:ext>
          </a:extLst>
        </xdr:cNvPr>
        <xdr:cNvSpPr/>
      </xdr:nvSpPr>
      <xdr:spPr>
        <a:xfrm flipH="1">
          <a:off x="28498797" y="25136476"/>
          <a:ext cx="790575" cy="234314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40</xdr:col>
      <xdr:colOff>0</xdr:colOff>
      <xdr:row>55</xdr:row>
      <xdr:rowOff>76201</xdr:rowOff>
    </xdr:from>
    <xdr:to>
      <xdr:col>42</xdr:col>
      <xdr:colOff>85722</xdr:colOff>
      <xdr:row>57</xdr:row>
      <xdr:rowOff>266700</xdr:rowOff>
    </xdr:to>
    <xdr:sp macro="" textlink="">
      <xdr:nvSpPr>
        <xdr:cNvPr id="36" name="円/楕円 5">
          <a:extLst>
            <a:ext uri="{FF2B5EF4-FFF2-40B4-BE49-F238E27FC236}">
              <a16:creationId xmlns:a16="http://schemas.microsoft.com/office/drawing/2014/main" id="{7B68C695-B725-45F5-B138-186D73187BD8}"/>
            </a:ext>
          </a:extLst>
        </xdr:cNvPr>
        <xdr:cNvSpPr/>
      </xdr:nvSpPr>
      <xdr:spPr>
        <a:xfrm flipH="1">
          <a:off x="31308675" y="24850726"/>
          <a:ext cx="761997" cy="100964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D17AD-6BB3-49C0-B0E3-32EA74C15A78}">
  <sheetPr>
    <pageSetUpPr fitToPage="1"/>
  </sheetPr>
  <dimension ref="A1:CQ64"/>
  <sheetViews>
    <sheetView tabSelected="1" zoomScale="80" zoomScaleNormal="80" workbookViewId="0">
      <pane ySplit="3" topLeftCell="A34" activePane="bottomLeft" state="frozen"/>
      <selection pane="bottomLeft" activeCell="R45" sqref="R45"/>
    </sheetView>
  </sheetViews>
  <sheetFormatPr defaultRowHeight="13.2" x14ac:dyDescent="0.2"/>
  <cols>
    <col min="1" max="1" width="26.6640625" bestFit="1" customWidth="1"/>
    <col min="2" max="12" width="9.88671875" customWidth="1"/>
    <col min="13" max="13" width="10.109375" customWidth="1"/>
    <col min="14" max="31" width="9.88671875" customWidth="1"/>
    <col min="32" max="33" width="10.33203125" customWidth="1"/>
    <col min="34" max="40" width="9.88671875" customWidth="1"/>
    <col min="41" max="41" width="4.33203125" customWidth="1"/>
    <col min="42" max="49" width="4.44140625" customWidth="1"/>
    <col min="50" max="50" width="5.109375" customWidth="1"/>
    <col min="51" max="55" width="4.44140625" customWidth="1"/>
    <col min="56" max="56" width="7.21875" customWidth="1"/>
    <col min="57" max="66" width="6.21875" customWidth="1"/>
  </cols>
  <sheetData>
    <row r="1" spans="1:71" ht="33" customHeight="1" x14ac:dyDescent="0.4">
      <c r="A1" s="145" t="s">
        <v>85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"/>
      <c r="N1" s="1"/>
      <c r="O1" s="1"/>
      <c r="P1" s="2" t="s">
        <v>0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</row>
    <row r="2" spans="1:71" ht="21" customHeight="1" x14ac:dyDescent="0.25">
      <c r="A2" s="3"/>
      <c r="B2" s="4">
        <v>1</v>
      </c>
      <c r="C2" s="4">
        <v>2</v>
      </c>
      <c r="D2" s="4">
        <v>3</v>
      </c>
      <c r="E2" s="4">
        <v>4</v>
      </c>
      <c r="F2" s="4">
        <v>5</v>
      </c>
      <c r="G2" s="4">
        <v>6</v>
      </c>
      <c r="H2" s="4">
        <v>7</v>
      </c>
      <c r="I2" s="4">
        <v>8</v>
      </c>
      <c r="J2" s="4">
        <v>9</v>
      </c>
      <c r="K2" s="4">
        <v>10</v>
      </c>
      <c r="L2" s="4">
        <v>11</v>
      </c>
      <c r="M2" s="4">
        <v>12</v>
      </c>
      <c r="N2" s="4">
        <v>13</v>
      </c>
      <c r="O2" s="4">
        <v>14</v>
      </c>
      <c r="P2" s="4">
        <v>15</v>
      </c>
      <c r="Q2" s="4">
        <v>16</v>
      </c>
      <c r="R2" s="4">
        <v>17</v>
      </c>
      <c r="S2" s="4">
        <v>18</v>
      </c>
      <c r="T2" s="4">
        <v>19</v>
      </c>
      <c r="U2" s="4">
        <v>20</v>
      </c>
      <c r="V2" s="4">
        <v>21</v>
      </c>
      <c r="W2" s="4">
        <v>22</v>
      </c>
      <c r="X2" s="4">
        <v>23</v>
      </c>
      <c r="Y2" s="4">
        <v>24</v>
      </c>
      <c r="Z2" s="4">
        <v>25</v>
      </c>
      <c r="AA2" s="4">
        <v>26</v>
      </c>
      <c r="AB2" s="4">
        <v>27</v>
      </c>
      <c r="AC2" s="4">
        <v>28</v>
      </c>
      <c r="AD2" s="4">
        <v>29</v>
      </c>
      <c r="AE2" s="4">
        <v>30</v>
      </c>
      <c r="AF2" s="4">
        <v>31</v>
      </c>
      <c r="AG2" s="5"/>
      <c r="AH2" s="6"/>
      <c r="AI2" s="7"/>
      <c r="AJ2" s="7"/>
      <c r="AK2" s="7"/>
      <c r="AL2" s="7"/>
      <c r="AM2" s="7"/>
      <c r="AN2" s="7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9"/>
      <c r="BJ2" s="8"/>
      <c r="BK2" s="8"/>
      <c r="BL2" s="8"/>
    </row>
    <row r="3" spans="1:71" ht="24.75" customHeight="1" x14ac:dyDescent="0.25">
      <c r="A3" s="10" t="s">
        <v>1</v>
      </c>
      <c r="B3" s="11" t="s">
        <v>86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  <c r="H3" s="11" t="s">
        <v>2</v>
      </c>
      <c r="I3" s="11" t="s">
        <v>3</v>
      </c>
      <c r="J3" s="11" t="s">
        <v>4</v>
      </c>
      <c r="K3" s="11" t="s">
        <v>5</v>
      </c>
      <c r="L3" s="11" t="s">
        <v>6</v>
      </c>
      <c r="M3" s="11" t="s">
        <v>7</v>
      </c>
      <c r="N3" s="11" t="s">
        <v>8</v>
      </c>
      <c r="O3" s="11" t="s">
        <v>2</v>
      </c>
      <c r="P3" s="11" t="s">
        <v>3</v>
      </c>
      <c r="Q3" s="11" t="s">
        <v>4</v>
      </c>
      <c r="R3" s="11" t="s">
        <v>5</v>
      </c>
      <c r="S3" s="11" t="s">
        <v>6</v>
      </c>
      <c r="T3" s="11" t="s">
        <v>7</v>
      </c>
      <c r="U3" s="11" t="s">
        <v>8</v>
      </c>
      <c r="V3" s="11" t="s">
        <v>2</v>
      </c>
      <c r="W3" s="11" t="s">
        <v>3</v>
      </c>
      <c r="X3" s="11" t="s">
        <v>4</v>
      </c>
      <c r="Y3" s="11" t="s">
        <v>5</v>
      </c>
      <c r="Z3" s="11" t="s">
        <v>6</v>
      </c>
      <c r="AA3" s="11" t="s">
        <v>7</v>
      </c>
      <c r="AB3" s="11" t="s">
        <v>8</v>
      </c>
      <c r="AC3" s="11" t="s">
        <v>2</v>
      </c>
      <c r="AD3" s="11" t="s">
        <v>3</v>
      </c>
      <c r="AE3" s="11" t="s">
        <v>4</v>
      </c>
      <c r="AF3" s="11" t="s">
        <v>5</v>
      </c>
      <c r="AG3" s="12"/>
      <c r="AH3" s="13" t="s">
        <v>9</v>
      </c>
      <c r="AI3" s="14">
        <v>1</v>
      </c>
      <c r="AJ3" s="14">
        <v>2</v>
      </c>
      <c r="AK3" s="14">
        <v>3</v>
      </c>
      <c r="AL3" s="14">
        <v>4</v>
      </c>
      <c r="AM3" s="14">
        <v>5</v>
      </c>
      <c r="AN3" s="14" t="s">
        <v>10</v>
      </c>
      <c r="AO3" s="15" t="s">
        <v>11</v>
      </c>
      <c r="AP3" s="16" t="s">
        <v>12</v>
      </c>
      <c r="AQ3" s="17">
        <v>1</v>
      </c>
      <c r="AR3" s="17">
        <v>2</v>
      </c>
      <c r="AS3" s="17">
        <v>3</v>
      </c>
      <c r="AT3" s="17">
        <v>4</v>
      </c>
      <c r="AU3" s="17">
        <v>5</v>
      </c>
      <c r="AV3" s="17" t="s">
        <v>13</v>
      </c>
      <c r="AW3" s="17" t="s">
        <v>14</v>
      </c>
      <c r="AX3" s="17" t="s">
        <v>15</v>
      </c>
      <c r="AY3" s="17" t="s">
        <v>16</v>
      </c>
      <c r="AZ3" s="17" t="s">
        <v>17</v>
      </c>
      <c r="BA3" s="17" t="s">
        <v>18</v>
      </c>
      <c r="BB3" s="17" t="s">
        <v>19</v>
      </c>
      <c r="BC3" s="18"/>
      <c r="BD3" s="18"/>
      <c r="BE3" s="19" t="s">
        <v>20</v>
      </c>
      <c r="BF3" s="20" t="s">
        <v>21</v>
      </c>
      <c r="BG3" s="21" t="s">
        <v>22</v>
      </c>
      <c r="BH3" s="21" t="s">
        <v>23</v>
      </c>
      <c r="BI3" s="21" t="s">
        <v>24</v>
      </c>
      <c r="BJ3" s="22"/>
      <c r="BK3" s="22"/>
      <c r="BL3" s="22"/>
      <c r="BM3" s="22"/>
      <c r="BN3" s="22"/>
      <c r="BO3" s="22"/>
      <c r="BP3" s="22"/>
      <c r="BQ3" s="22"/>
      <c r="BR3" s="22"/>
      <c r="BS3" s="22"/>
    </row>
    <row r="4" spans="1:71" ht="39.75" customHeight="1" x14ac:dyDescent="0.3">
      <c r="A4" s="23" t="s">
        <v>25</v>
      </c>
      <c r="B4" s="24"/>
      <c r="C4" s="25"/>
      <c r="D4" s="112" t="s">
        <v>87</v>
      </c>
      <c r="E4" s="26"/>
      <c r="F4" s="25"/>
      <c r="G4" s="112" t="s">
        <v>87</v>
      </c>
      <c r="H4" s="112" t="s">
        <v>87</v>
      </c>
      <c r="I4" s="27"/>
      <c r="J4" s="25"/>
      <c r="K4" s="112" t="s">
        <v>87</v>
      </c>
      <c r="L4" s="24"/>
      <c r="M4" s="112" t="s">
        <v>87</v>
      </c>
      <c r="N4" s="25"/>
      <c r="O4" s="25"/>
      <c r="P4" s="25"/>
      <c r="Q4" s="25"/>
      <c r="R4" s="112" t="s">
        <v>87</v>
      </c>
      <c r="S4" s="25"/>
      <c r="T4" s="25"/>
      <c r="U4" s="24"/>
      <c r="V4" s="112" t="s">
        <v>87</v>
      </c>
      <c r="W4" s="25"/>
      <c r="X4" s="26"/>
      <c r="Y4" s="25"/>
      <c r="Z4" s="24"/>
      <c r="AA4" s="112" t="s">
        <v>87</v>
      </c>
      <c r="AB4" s="28"/>
      <c r="AC4" s="112" t="s">
        <v>87</v>
      </c>
      <c r="AD4" s="112"/>
      <c r="AE4" s="25"/>
      <c r="AF4" s="25"/>
      <c r="AG4" s="24"/>
      <c r="AH4" s="29">
        <f>AO4+AP4</f>
        <v>0</v>
      </c>
      <c r="AI4" s="29">
        <f>AQ4+AR4+BF4</f>
        <v>0</v>
      </c>
      <c r="AJ4" s="29">
        <f>AS4+AT4+AY4+AZ4</f>
        <v>0</v>
      </c>
      <c r="AK4" s="29">
        <f>AU4+AV4+AY4+AZ4</f>
        <v>0</v>
      </c>
      <c r="AL4" s="30">
        <f>BA4</f>
        <v>0</v>
      </c>
      <c r="AM4" s="29">
        <f>AW4+AX4</f>
        <v>0</v>
      </c>
      <c r="AN4" s="31">
        <f>COUNTIF(B4:AF4,"休")</f>
        <v>9</v>
      </c>
      <c r="AO4" s="18">
        <f t="shared" ref="AO4:AO8" si="0">COUNTIF($B4:$AF4,"C₁")</f>
        <v>0</v>
      </c>
      <c r="AP4" s="18">
        <f t="shared" ref="AP4:AP8" si="1">COUNTIF($B4:$AF4,"C₂")</f>
        <v>0</v>
      </c>
      <c r="AQ4" s="18">
        <f>COUNTIF($B4:$AF4,"1")</f>
        <v>0</v>
      </c>
      <c r="AR4" s="18">
        <f>COUNTIF($B4:$AF4,"2")</f>
        <v>0</v>
      </c>
      <c r="AS4" s="18">
        <f>COUNTIF($B4:$AF4,"3")</f>
        <v>0</v>
      </c>
      <c r="AT4" s="18">
        <f>COUNTIF($B4:$AF4,"4")</f>
        <v>0</v>
      </c>
      <c r="AU4" s="18">
        <f>COUNTIF($B4:$AF4,"5")</f>
        <v>0</v>
      </c>
      <c r="AV4" s="18">
        <f t="shared" ref="AV4:AV37" si="2">COUNTIF($B4:$AF4,"B₂")</f>
        <v>0</v>
      </c>
      <c r="AW4" s="18">
        <f t="shared" ref="AW4:AW37" si="3">COUNTIF($B4:$AF4,"遅₁")</f>
        <v>0</v>
      </c>
      <c r="AX4" s="18">
        <f t="shared" ref="AX4:AX37" si="4">COUNTIF($B4:$AF4,"遅₂")</f>
        <v>0</v>
      </c>
      <c r="AY4" s="18">
        <f t="shared" ref="AY4:AY37" si="5">COUNTIF($B4:$AF4,$AY$3)</f>
        <v>0</v>
      </c>
      <c r="AZ4" s="18">
        <f t="shared" ref="AZ4:AZ37" si="6">COUNTIF($B4:$AF4,"日₂B₂")</f>
        <v>0</v>
      </c>
      <c r="BA4" s="18">
        <f t="shared" ref="BA4:BA37" si="7">COUNTIF($B4:$AF4,$BA$3)</f>
        <v>0</v>
      </c>
      <c r="BB4" s="18">
        <f t="shared" ref="BB4:BB29" si="8">COUNTIF($B4:$AF4,$BB$3)</f>
        <v>0</v>
      </c>
      <c r="BC4" s="18"/>
      <c r="BD4" s="18"/>
      <c r="BE4" s="18">
        <f>COUNTIF($A4:$AF4,$BE$3)</f>
        <v>0</v>
      </c>
      <c r="BF4" s="18">
        <f>COUNTIF(B4:AF4,$BF$3)</f>
        <v>0</v>
      </c>
      <c r="BG4" s="18">
        <f>COUNTIF(C4:AG4,$BG$3)</f>
        <v>0</v>
      </c>
      <c r="BH4" s="18">
        <f>COUNTIF(D4:AH4,$BH$3)</f>
        <v>0</v>
      </c>
      <c r="BI4" s="18">
        <f>COUNTIF(E4:AI4,$BI$3)</f>
        <v>0</v>
      </c>
    </row>
    <row r="5" spans="1:71" ht="37.5" customHeight="1" x14ac:dyDescent="0.3">
      <c r="A5" s="23" t="s">
        <v>26</v>
      </c>
      <c r="B5" s="24"/>
      <c r="C5" s="109" t="s">
        <v>87</v>
      </c>
      <c r="D5" s="26"/>
      <c r="E5" s="109" t="s">
        <v>87</v>
      </c>
      <c r="F5" s="109" t="s">
        <v>87</v>
      </c>
      <c r="G5" s="26"/>
      <c r="H5" s="26"/>
      <c r="I5" s="24"/>
      <c r="J5" s="109" t="s">
        <v>87</v>
      </c>
      <c r="K5" s="26"/>
      <c r="L5" s="109" t="s">
        <v>87</v>
      </c>
      <c r="M5" s="109" t="s">
        <v>87</v>
      </c>
      <c r="N5" s="26"/>
      <c r="O5" s="26"/>
      <c r="P5" s="109" t="s">
        <v>87</v>
      </c>
      <c r="Q5" s="109" t="s">
        <v>87</v>
      </c>
      <c r="R5" s="26"/>
      <c r="S5" s="109" t="s">
        <v>87</v>
      </c>
      <c r="T5" s="109" t="s">
        <v>87</v>
      </c>
      <c r="U5" s="109" t="s">
        <v>87</v>
      </c>
      <c r="V5" s="109" t="s">
        <v>87</v>
      </c>
      <c r="W5" s="109" t="s">
        <v>87</v>
      </c>
      <c r="X5" s="109" t="s">
        <v>87</v>
      </c>
      <c r="Y5" s="109" t="s">
        <v>87</v>
      </c>
      <c r="Z5" s="109" t="s">
        <v>87</v>
      </c>
      <c r="AA5" s="109" t="s">
        <v>87</v>
      </c>
      <c r="AB5" s="26"/>
      <c r="AC5" s="26"/>
      <c r="AD5" s="112"/>
      <c r="AE5" s="109" t="s">
        <v>87</v>
      </c>
      <c r="AF5" s="109" t="s">
        <v>87</v>
      </c>
      <c r="AG5" s="24"/>
      <c r="AH5" s="29">
        <f>AO5+AP5</f>
        <v>0</v>
      </c>
      <c r="AI5" s="29">
        <f>AQ5+AR5+BE5+BF5</f>
        <v>0</v>
      </c>
      <c r="AJ5" s="29">
        <f>AS5+AT5+AY5+AZ5</f>
        <v>0</v>
      </c>
      <c r="AK5" s="29">
        <f>AU5+AV5+AY5+AZ5</f>
        <v>0</v>
      </c>
      <c r="AL5" s="30">
        <f>BA5</f>
        <v>0</v>
      </c>
      <c r="AM5" s="29">
        <f>AW5+AX5</f>
        <v>0</v>
      </c>
      <c r="AN5" s="31">
        <f>COUNTIF(B5:AF5,"休")</f>
        <v>19</v>
      </c>
      <c r="AO5" s="18">
        <f t="shared" si="0"/>
        <v>0</v>
      </c>
      <c r="AP5" s="18">
        <f t="shared" si="1"/>
        <v>0</v>
      </c>
      <c r="AQ5" s="18">
        <f>COUNTIF($B5:$AF5,"1")</f>
        <v>0</v>
      </c>
      <c r="AR5" s="18">
        <f>COUNTIF($B5:$AF5,"2")</f>
        <v>0</v>
      </c>
      <c r="AS5" s="18">
        <f>COUNTIF($B5:$AF5,"3")</f>
        <v>0</v>
      </c>
      <c r="AT5" s="18">
        <f>COUNTIF($B5:$AF5,"4")</f>
        <v>0</v>
      </c>
      <c r="AU5" s="18">
        <f>COUNTIF($B5:$AF5,"5")</f>
        <v>0</v>
      </c>
      <c r="AV5" s="18">
        <f t="shared" si="2"/>
        <v>0</v>
      </c>
      <c r="AW5" s="18">
        <f t="shared" si="3"/>
        <v>0</v>
      </c>
      <c r="AX5" s="18">
        <f t="shared" si="4"/>
        <v>0</v>
      </c>
      <c r="AY5" s="18">
        <f t="shared" si="5"/>
        <v>0</v>
      </c>
      <c r="AZ5" s="18">
        <f t="shared" si="6"/>
        <v>0</v>
      </c>
      <c r="BA5" s="18">
        <f t="shared" si="7"/>
        <v>0</v>
      </c>
      <c r="BB5" s="18">
        <f t="shared" si="8"/>
        <v>0</v>
      </c>
      <c r="BC5" s="18"/>
      <c r="BD5" s="18"/>
      <c r="BE5" s="18">
        <f>COUNTIF($A5:$AF5,$BE$3)</f>
        <v>0</v>
      </c>
      <c r="BF5" s="18">
        <f>COUNTIF(B5:AF5,$BF$3)</f>
        <v>0</v>
      </c>
      <c r="BG5" s="18">
        <f>COUNTIF(C5:AG5,$BG$3)</f>
        <v>0</v>
      </c>
      <c r="BH5" s="18">
        <f>COUNTIF(D5:AH5,$BH$3)</f>
        <v>0</v>
      </c>
      <c r="BI5" s="18">
        <f>COUNTIF(E5:AI5,$BI$3)</f>
        <v>0</v>
      </c>
    </row>
    <row r="6" spans="1:71" ht="37.5" customHeight="1" x14ac:dyDescent="0.3">
      <c r="A6" s="32" t="s">
        <v>27</v>
      </c>
      <c r="B6" s="112" t="s">
        <v>87</v>
      </c>
      <c r="C6" s="24"/>
      <c r="D6" s="25"/>
      <c r="E6" s="25"/>
      <c r="F6" s="112" t="s">
        <v>87</v>
      </c>
      <c r="G6" s="25"/>
      <c r="H6" s="25"/>
      <c r="I6" s="112" t="s">
        <v>87</v>
      </c>
      <c r="J6" s="25"/>
      <c r="K6" s="24"/>
      <c r="L6" s="24"/>
      <c r="M6" s="25"/>
      <c r="N6" s="109" t="s">
        <v>87</v>
      </c>
      <c r="O6" s="109" t="s">
        <v>87</v>
      </c>
      <c r="P6" s="25"/>
      <c r="Q6" s="25"/>
      <c r="R6" s="25"/>
      <c r="S6" s="25"/>
      <c r="T6" s="112" t="s">
        <v>87</v>
      </c>
      <c r="U6" s="25"/>
      <c r="V6" s="25"/>
      <c r="W6" s="25"/>
      <c r="X6" s="25"/>
      <c r="Y6" s="109" t="s">
        <v>87</v>
      </c>
      <c r="Z6" s="24"/>
      <c r="AA6" s="25"/>
      <c r="AB6" s="112" t="s">
        <v>87</v>
      </c>
      <c r="AC6" s="26"/>
      <c r="AD6" s="109" t="s">
        <v>87</v>
      </c>
      <c r="AE6" s="24"/>
      <c r="AF6" s="24"/>
      <c r="AG6" s="24"/>
      <c r="AH6" s="29">
        <f>AO6+AP6</f>
        <v>0</v>
      </c>
      <c r="AI6" s="29">
        <f>AQ6+AR6+BE6</f>
        <v>0</v>
      </c>
      <c r="AJ6" s="29">
        <f>AS6+AT6+AY6+AZ6</f>
        <v>0</v>
      </c>
      <c r="AK6" s="29">
        <f>AU6+AV6+AY6+AZ6</f>
        <v>0</v>
      </c>
      <c r="AL6" s="30">
        <f>BA6</f>
        <v>0</v>
      </c>
      <c r="AM6" s="29">
        <f>AW6+AX6</f>
        <v>0</v>
      </c>
      <c r="AN6" s="31">
        <f>COUNTIF(B6:AF6,"休")</f>
        <v>9</v>
      </c>
      <c r="AO6" s="18">
        <f t="shared" si="0"/>
        <v>0</v>
      </c>
      <c r="AP6" s="18">
        <f t="shared" si="1"/>
        <v>0</v>
      </c>
      <c r="AQ6" s="18">
        <f>COUNTIF($B6:$AF6,"1")</f>
        <v>0</v>
      </c>
      <c r="AR6" s="18">
        <f>COUNTIF($B6:$AF6,"2")</f>
        <v>0</v>
      </c>
      <c r="AS6" s="18">
        <f>COUNTIF($B6:$AF6,"3")</f>
        <v>0</v>
      </c>
      <c r="AT6" s="18">
        <f>COUNTIF($B6:$AF6,"4")</f>
        <v>0</v>
      </c>
      <c r="AU6" s="18">
        <f>COUNTIF($B6:$AF6,"5")</f>
        <v>0</v>
      </c>
      <c r="AV6" s="18">
        <f t="shared" si="2"/>
        <v>0</v>
      </c>
      <c r="AW6" s="18">
        <f t="shared" si="3"/>
        <v>0</v>
      </c>
      <c r="AX6" s="18">
        <f t="shared" si="4"/>
        <v>0</v>
      </c>
      <c r="AY6" s="18">
        <f t="shared" si="5"/>
        <v>0</v>
      </c>
      <c r="AZ6" s="18">
        <f t="shared" si="6"/>
        <v>0</v>
      </c>
      <c r="BA6" s="18">
        <f t="shared" si="7"/>
        <v>0</v>
      </c>
      <c r="BB6" s="18">
        <f t="shared" si="8"/>
        <v>0</v>
      </c>
      <c r="BC6" s="18"/>
      <c r="BD6" s="18"/>
      <c r="BE6" s="18">
        <f>COUNTIF($A6:$AF6,$BE$3)</f>
        <v>0</v>
      </c>
      <c r="BF6" s="18">
        <f>COUNTIF(B6:AF6,$BF$3)</f>
        <v>0</v>
      </c>
      <c r="BG6" s="18">
        <f>COUNTIF(C6:AG6,$BG$3)</f>
        <v>0</v>
      </c>
      <c r="BH6" s="18">
        <f>COUNTIF(D6:AH6,$BH$3)</f>
        <v>0</v>
      </c>
      <c r="BI6" s="18">
        <f>COUNTIF(E6:AI6,$BI$3)</f>
        <v>0</v>
      </c>
    </row>
    <row r="7" spans="1:71" ht="37.5" customHeight="1" x14ac:dyDescent="0.3">
      <c r="A7" s="33" t="s">
        <v>28</v>
      </c>
      <c r="B7" s="34" t="s">
        <v>29</v>
      </c>
      <c r="C7" s="34" t="s">
        <v>29</v>
      </c>
      <c r="D7" s="34" t="s">
        <v>29</v>
      </c>
      <c r="E7" s="34" t="s">
        <v>29</v>
      </c>
      <c r="F7" s="34" t="s">
        <v>29</v>
      </c>
      <c r="G7" s="34" t="s">
        <v>29</v>
      </c>
      <c r="H7" s="34" t="s">
        <v>29</v>
      </c>
      <c r="I7" s="34" t="s">
        <v>29</v>
      </c>
      <c r="J7" s="34" t="s">
        <v>29</v>
      </c>
      <c r="K7" s="34" t="s">
        <v>29</v>
      </c>
      <c r="L7" s="34" t="s">
        <v>29</v>
      </c>
      <c r="M7" s="34" t="s">
        <v>29</v>
      </c>
      <c r="N7" s="34" t="s">
        <v>29</v>
      </c>
      <c r="O7" s="34" t="s">
        <v>29</v>
      </c>
      <c r="P7" s="34" t="s">
        <v>29</v>
      </c>
      <c r="Q7" s="34" t="s">
        <v>29</v>
      </c>
      <c r="R7" s="34" t="s">
        <v>29</v>
      </c>
      <c r="S7" s="34" t="s">
        <v>29</v>
      </c>
      <c r="T7" s="34" t="s">
        <v>29</v>
      </c>
      <c r="U7" s="34" t="s">
        <v>29</v>
      </c>
      <c r="V7" s="34" t="s">
        <v>29</v>
      </c>
      <c r="W7" s="34" t="s">
        <v>29</v>
      </c>
      <c r="X7" s="34" t="s">
        <v>29</v>
      </c>
      <c r="Y7" s="34" t="s">
        <v>29</v>
      </c>
      <c r="Z7" s="34" t="s">
        <v>29</v>
      </c>
      <c r="AA7" s="34" t="s">
        <v>29</v>
      </c>
      <c r="AB7" s="34" t="s">
        <v>29</v>
      </c>
      <c r="AC7" s="34" t="s">
        <v>29</v>
      </c>
      <c r="AD7" s="34" t="s">
        <v>29</v>
      </c>
      <c r="AE7" s="34" t="s">
        <v>29</v>
      </c>
      <c r="AF7" s="34" t="s">
        <v>29</v>
      </c>
      <c r="AG7" s="24"/>
      <c r="AH7" s="29">
        <f>AO7+AP7</f>
        <v>0</v>
      </c>
      <c r="AI7" s="29">
        <f>AQ7+BE7+BF7</f>
        <v>0</v>
      </c>
      <c r="AJ7" s="29">
        <f>AR7</f>
        <v>0</v>
      </c>
      <c r="AK7" s="29">
        <f>AS7</f>
        <v>0</v>
      </c>
      <c r="AL7" s="30">
        <f>AT7</f>
        <v>0</v>
      </c>
      <c r="AM7" s="29">
        <f>AU7</f>
        <v>0</v>
      </c>
      <c r="AN7" s="31">
        <f>COUNTIF(B7:AF7,"休")</f>
        <v>0</v>
      </c>
      <c r="AO7" s="18">
        <f t="shared" si="0"/>
        <v>0</v>
      </c>
      <c r="AP7" s="18">
        <f t="shared" si="1"/>
        <v>0</v>
      </c>
      <c r="AQ7" s="18">
        <f>COUNTIF($B7:$AF7,"1")</f>
        <v>0</v>
      </c>
      <c r="AR7" s="18">
        <f>COUNTIF($B7:$AF7,"2")</f>
        <v>0</v>
      </c>
      <c r="AS7" s="18">
        <f>COUNTIF($B7:$AF7,"3")</f>
        <v>0</v>
      </c>
      <c r="AT7" s="18">
        <f>COUNTIF($B7:$AF7,"4")</f>
        <v>0</v>
      </c>
      <c r="AU7" s="18">
        <f>COUNTIF($B7:$AF7,"5")</f>
        <v>0</v>
      </c>
      <c r="AV7" s="18">
        <f t="shared" si="2"/>
        <v>0</v>
      </c>
      <c r="AW7" s="18">
        <f t="shared" si="3"/>
        <v>0</v>
      </c>
      <c r="AX7" s="18">
        <f t="shared" si="4"/>
        <v>0</v>
      </c>
      <c r="AY7" s="18">
        <f t="shared" si="5"/>
        <v>0</v>
      </c>
      <c r="AZ7" s="18">
        <f t="shared" si="6"/>
        <v>0</v>
      </c>
      <c r="BA7" s="18">
        <f t="shared" si="7"/>
        <v>0</v>
      </c>
      <c r="BB7" s="18">
        <f t="shared" si="8"/>
        <v>0</v>
      </c>
      <c r="BC7" s="18"/>
      <c r="BD7" s="18"/>
      <c r="BE7" s="18">
        <f>COUNTIF($A7:$AF7,$BE$3)</f>
        <v>0</v>
      </c>
      <c r="BF7" s="18">
        <f>COUNTIF(B7:AF7,$BF$3)</f>
        <v>0</v>
      </c>
      <c r="BG7" s="18">
        <f>COUNTIF(C7:AG7,$BG$3)</f>
        <v>0</v>
      </c>
      <c r="BH7" s="18">
        <f>COUNTIF(D7:AH7,$BH$3)</f>
        <v>0</v>
      </c>
      <c r="BI7" s="18">
        <f>COUNTIF(E7:AI7,$BI$3)</f>
        <v>0</v>
      </c>
    </row>
    <row r="8" spans="1:71" ht="38.4" x14ac:dyDescent="0.3">
      <c r="A8" s="35"/>
      <c r="B8" s="25"/>
      <c r="C8" s="36"/>
      <c r="D8" s="25"/>
      <c r="E8" s="25"/>
      <c r="F8" s="125" t="s">
        <v>102</v>
      </c>
      <c r="G8" s="38"/>
      <c r="H8" s="39"/>
      <c r="I8" s="39"/>
      <c r="J8" s="40"/>
      <c r="K8" s="36" t="s">
        <v>30</v>
      </c>
      <c r="L8" s="36"/>
      <c r="M8" s="39" t="s">
        <v>103</v>
      </c>
      <c r="N8" s="40"/>
      <c r="O8" s="125"/>
      <c r="P8" s="38"/>
      <c r="Q8" s="41" t="s">
        <v>31</v>
      </c>
      <c r="R8" s="39"/>
      <c r="S8" s="41"/>
      <c r="T8" s="38"/>
      <c r="U8" s="38"/>
      <c r="V8" s="42"/>
      <c r="W8" s="38"/>
      <c r="X8" s="38" t="s">
        <v>92</v>
      </c>
      <c r="Y8" s="115" t="s">
        <v>92</v>
      </c>
      <c r="Z8" s="43"/>
      <c r="AA8" s="44" t="s">
        <v>99</v>
      </c>
      <c r="AB8" s="25"/>
      <c r="AC8" s="45"/>
      <c r="AD8" s="44"/>
      <c r="AE8" s="46"/>
      <c r="AF8" s="44"/>
      <c r="AG8" s="47"/>
      <c r="AH8" s="39"/>
      <c r="AI8" s="28"/>
      <c r="AJ8" s="47"/>
      <c r="AK8" s="29"/>
      <c r="AL8" s="30"/>
      <c r="AM8" s="29"/>
      <c r="AN8" s="31"/>
      <c r="AO8" s="18">
        <f t="shared" si="0"/>
        <v>0</v>
      </c>
      <c r="AP8" s="18">
        <f t="shared" si="1"/>
        <v>0</v>
      </c>
      <c r="AQ8" s="18">
        <f>COUNTIF($B8:$AF8,"早₁")</f>
        <v>0</v>
      </c>
      <c r="AR8" s="18">
        <f>COUNTIF($B8:$AF8,"早₂")</f>
        <v>0</v>
      </c>
      <c r="AS8" s="18">
        <f>COUNTIF($B8:$AF8,"日₁")</f>
        <v>0</v>
      </c>
      <c r="AT8" s="18">
        <f>COUNTIF($B8:$AF8,"日₂")</f>
        <v>0</v>
      </c>
      <c r="AU8" s="18">
        <f>COUNTIF($B8:$AF8,"B₁")</f>
        <v>0</v>
      </c>
      <c r="AV8" s="18">
        <f t="shared" si="2"/>
        <v>0</v>
      </c>
      <c r="AW8" s="18">
        <f t="shared" si="3"/>
        <v>0</v>
      </c>
      <c r="AX8" s="18">
        <f t="shared" si="4"/>
        <v>0</v>
      </c>
      <c r="AY8" s="18">
        <f t="shared" si="5"/>
        <v>0</v>
      </c>
      <c r="AZ8" s="18">
        <f t="shared" si="6"/>
        <v>0</v>
      </c>
      <c r="BA8" s="18">
        <f t="shared" si="7"/>
        <v>0</v>
      </c>
      <c r="BB8" s="18">
        <f t="shared" si="8"/>
        <v>0</v>
      </c>
      <c r="BC8" s="18"/>
      <c r="BD8" s="48" t="s">
        <v>20</v>
      </c>
      <c r="BE8" s="18">
        <f t="shared" ref="BE8:BE37" si="9">COUNTIF($B8:$AF8,$BE$3)</f>
        <v>0</v>
      </c>
      <c r="BF8" s="18">
        <f t="shared" ref="BF8:BF37" si="10">COUNTIF($B8:$AF8,$BF$3)</f>
        <v>0</v>
      </c>
      <c r="BG8" s="18">
        <f t="shared" ref="BG8:BG37" si="11">COUNTIF($B8:$AF8,$BG$3)</f>
        <v>0</v>
      </c>
      <c r="BH8" s="18">
        <f t="shared" ref="BH8:BH37" si="12">COUNTIF($B8:$AF8,$BH$3)</f>
        <v>0</v>
      </c>
      <c r="BI8" s="18">
        <f t="shared" ref="BI8:BI37" si="13">COUNTIF($B8:$AF8,$BI$3)</f>
        <v>0</v>
      </c>
    </row>
    <row r="9" spans="1:71" ht="37.5" customHeight="1" x14ac:dyDescent="0.3">
      <c r="A9" s="49" t="s">
        <v>104</v>
      </c>
      <c r="B9" s="28" t="s">
        <v>24</v>
      </c>
      <c r="C9" s="24" t="s">
        <v>87</v>
      </c>
      <c r="D9" s="126">
        <v>1</v>
      </c>
      <c r="E9" s="24" t="s">
        <v>22</v>
      </c>
      <c r="F9" s="24" t="s">
        <v>87</v>
      </c>
      <c r="G9" s="127">
        <v>3</v>
      </c>
      <c r="H9" s="24" t="s">
        <v>23</v>
      </c>
      <c r="I9" s="128" t="s">
        <v>90</v>
      </c>
      <c r="J9" s="24" t="s">
        <v>89</v>
      </c>
      <c r="K9" s="24" t="s">
        <v>87</v>
      </c>
      <c r="L9" s="24" t="s">
        <v>22</v>
      </c>
      <c r="M9" s="129" t="s">
        <v>88</v>
      </c>
      <c r="N9" s="24" t="s">
        <v>89</v>
      </c>
      <c r="O9" s="24" t="s">
        <v>87</v>
      </c>
      <c r="P9" s="130" t="s">
        <v>87</v>
      </c>
      <c r="Q9" s="126">
        <v>1</v>
      </c>
      <c r="R9" s="43" t="s">
        <v>100</v>
      </c>
      <c r="S9" s="130" t="s">
        <v>87</v>
      </c>
      <c r="T9" s="131" t="s">
        <v>87</v>
      </c>
      <c r="U9" s="28" t="s">
        <v>88</v>
      </c>
      <c r="V9" s="24" t="s">
        <v>89</v>
      </c>
      <c r="W9" s="24" t="s">
        <v>87</v>
      </c>
      <c r="X9" s="126">
        <v>1</v>
      </c>
      <c r="Y9" s="28" t="s">
        <v>88</v>
      </c>
      <c r="Z9" s="24" t="s">
        <v>89</v>
      </c>
      <c r="AA9" s="24" t="s">
        <v>87</v>
      </c>
      <c r="AB9" s="24" t="s">
        <v>20</v>
      </c>
      <c r="AC9" s="126">
        <v>3</v>
      </c>
      <c r="AD9" s="24" t="s">
        <v>87</v>
      </c>
      <c r="AE9" s="127">
        <v>4</v>
      </c>
      <c r="AF9" s="129" t="s">
        <v>88</v>
      </c>
      <c r="AG9" s="110"/>
      <c r="AH9" s="29">
        <f t="shared" ref="AH9:AH29" si="14">AO9+AP9</f>
        <v>5</v>
      </c>
      <c r="AI9" s="29">
        <f t="shared" ref="AI9:AM37" si="15">AQ9+BE9</f>
        <v>4</v>
      </c>
      <c r="AJ9" s="29">
        <f t="shared" si="15"/>
        <v>0</v>
      </c>
      <c r="AK9" s="29">
        <f t="shared" si="15"/>
        <v>4</v>
      </c>
      <c r="AL9" s="29">
        <f t="shared" si="15"/>
        <v>2</v>
      </c>
      <c r="AM9" s="29">
        <f t="shared" si="15"/>
        <v>1</v>
      </c>
      <c r="AN9" s="50">
        <f t="shared" ref="AN9:AN37" si="16">COUNTIF(B9:AF9,"休")</f>
        <v>10</v>
      </c>
      <c r="AO9" s="18">
        <f>COUNTIF($B9:$AF9,"C1")</f>
        <v>1</v>
      </c>
      <c r="AP9" s="18">
        <f>COUNTIF($B9:$AF9,"C2")</f>
        <v>4</v>
      </c>
      <c r="AQ9" s="18">
        <f t="shared" ref="AQ9:AQ29" si="17">COUNTIF($B9:$AF9,"1")</f>
        <v>3</v>
      </c>
      <c r="AR9" s="18">
        <f t="shared" ref="AR9:AR29" si="18">COUNTIF($B9:$AF9,"2")</f>
        <v>0</v>
      </c>
      <c r="AS9" s="18">
        <f t="shared" ref="AS9:AS29" si="19">COUNTIF($B9:$AF9,"3")</f>
        <v>2</v>
      </c>
      <c r="AT9" s="18">
        <f t="shared" ref="AT9:AT29" si="20">COUNTIF($B9:$AF9,"4")</f>
        <v>1</v>
      </c>
      <c r="AU9" s="18">
        <f t="shared" ref="AU9:AU29" si="21">COUNTIF($B9:$AF9,"5")</f>
        <v>0</v>
      </c>
      <c r="AV9" s="18">
        <f t="shared" si="2"/>
        <v>0</v>
      </c>
      <c r="AW9" s="18">
        <f t="shared" si="3"/>
        <v>0</v>
      </c>
      <c r="AX9" s="18">
        <f t="shared" si="4"/>
        <v>0</v>
      </c>
      <c r="AY9" s="18">
        <f t="shared" si="5"/>
        <v>0</v>
      </c>
      <c r="AZ9" s="18">
        <f t="shared" si="6"/>
        <v>0</v>
      </c>
      <c r="BA9" s="18">
        <f t="shared" si="7"/>
        <v>0</v>
      </c>
      <c r="BB9" s="18">
        <f t="shared" si="8"/>
        <v>0</v>
      </c>
      <c r="BC9" s="18"/>
      <c r="BD9" s="51" t="s">
        <v>21</v>
      </c>
      <c r="BE9" s="18">
        <f t="shared" si="9"/>
        <v>1</v>
      </c>
      <c r="BF9" s="18">
        <f t="shared" si="10"/>
        <v>0</v>
      </c>
      <c r="BG9" s="18">
        <f t="shared" si="11"/>
        <v>2</v>
      </c>
      <c r="BH9" s="18">
        <f t="shared" si="12"/>
        <v>1</v>
      </c>
      <c r="BI9" s="18">
        <f t="shared" si="13"/>
        <v>1</v>
      </c>
    </row>
    <row r="10" spans="1:71" ht="37.5" customHeight="1" x14ac:dyDescent="0.3">
      <c r="A10" s="49" t="s">
        <v>35</v>
      </c>
      <c r="B10" s="126">
        <v>3</v>
      </c>
      <c r="C10" s="28" t="s">
        <v>88</v>
      </c>
      <c r="D10" s="24" t="s">
        <v>89</v>
      </c>
      <c r="E10" s="130" t="s">
        <v>87</v>
      </c>
      <c r="F10" s="131" t="s">
        <v>87</v>
      </c>
      <c r="G10" s="131" t="s">
        <v>87</v>
      </c>
      <c r="H10" s="132" t="s">
        <v>38</v>
      </c>
      <c r="I10" s="24" t="s">
        <v>20</v>
      </c>
      <c r="J10" s="128" t="s">
        <v>90</v>
      </c>
      <c r="K10" s="24" t="s">
        <v>89</v>
      </c>
      <c r="L10" s="24" t="s">
        <v>87</v>
      </c>
      <c r="M10" s="133">
        <v>4</v>
      </c>
      <c r="N10" s="24" t="s">
        <v>22</v>
      </c>
      <c r="O10" s="28" t="s">
        <v>87</v>
      </c>
      <c r="P10" s="24" t="s">
        <v>20</v>
      </c>
      <c r="Q10" s="133">
        <v>3</v>
      </c>
      <c r="R10" s="28" t="s">
        <v>87</v>
      </c>
      <c r="S10" s="28" t="s">
        <v>88</v>
      </c>
      <c r="T10" s="24" t="s">
        <v>89</v>
      </c>
      <c r="U10" s="24" t="s">
        <v>87</v>
      </c>
      <c r="V10" s="24" t="s">
        <v>23</v>
      </c>
      <c r="W10" s="129" t="s">
        <v>90</v>
      </c>
      <c r="X10" s="24" t="s">
        <v>89</v>
      </c>
      <c r="Y10" s="24" t="s">
        <v>87</v>
      </c>
      <c r="Z10" s="24" t="s">
        <v>20</v>
      </c>
      <c r="AA10" s="28" t="s">
        <v>87</v>
      </c>
      <c r="AB10" s="130" t="s">
        <v>87</v>
      </c>
      <c r="AC10" s="24" t="s">
        <v>23</v>
      </c>
      <c r="AD10" s="130" t="s">
        <v>87</v>
      </c>
      <c r="AE10" s="134" t="s">
        <v>88</v>
      </c>
      <c r="AF10" s="130" t="s">
        <v>89</v>
      </c>
      <c r="AG10" s="112"/>
      <c r="AH10" s="29">
        <f t="shared" si="14"/>
        <v>5</v>
      </c>
      <c r="AI10" s="29">
        <f t="shared" si="15"/>
        <v>3</v>
      </c>
      <c r="AJ10" s="29">
        <f t="shared" si="15"/>
        <v>1</v>
      </c>
      <c r="AK10" s="29">
        <f t="shared" si="15"/>
        <v>3</v>
      </c>
      <c r="AL10" s="29">
        <f t="shared" si="15"/>
        <v>3</v>
      </c>
      <c r="AM10" s="29">
        <f t="shared" si="15"/>
        <v>0</v>
      </c>
      <c r="AN10" s="28">
        <f t="shared" si="16"/>
        <v>11</v>
      </c>
      <c r="AO10" s="18">
        <f t="shared" ref="AO10:AO38" si="22">COUNTIF($B10:$AF10,"C1")</f>
        <v>2</v>
      </c>
      <c r="AP10" s="18">
        <f t="shared" ref="AP10:AP38" si="23">COUNTIF($B10:$AF10,"C2")</f>
        <v>3</v>
      </c>
      <c r="AQ10" s="18">
        <f t="shared" si="17"/>
        <v>0</v>
      </c>
      <c r="AR10" s="18">
        <f t="shared" si="18"/>
        <v>1</v>
      </c>
      <c r="AS10" s="18">
        <f t="shared" si="19"/>
        <v>2</v>
      </c>
      <c r="AT10" s="18">
        <f t="shared" si="20"/>
        <v>1</v>
      </c>
      <c r="AU10" s="18">
        <f t="shared" si="21"/>
        <v>0</v>
      </c>
      <c r="AV10" s="18">
        <f t="shared" si="2"/>
        <v>0</v>
      </c>
      <c r="AW10" s="18">
        <f t="shared" si="3"/>
        <v>0</v>
      </c>
      <c r="AX10" s="18">
        <f t="shared" si="4"/>
        <v>0</v>
      </c>
      <c r="AY10" s="18">
        <f t="shared" si="5"/>
        <v>0</v>
      </c>
      <c r="AZ10" s="18">
        <f t="shared" si="6"/>
        <v>0</v>
      </c>
      <c r="BA10" s="18">
        <f t="shared" si="7"/>
        <v>0</v>
      </c>
      <c r="BB10" s="18">
        <f t="shared" si="8"/>
        <v>0</v>
      </c>
      <c r="BC10" s="18"/>
      <c r="BD10" s="51" t="s">
        <v>22</v>
      </c>
      <c r="BE10" s="18">
        <f t="shared" si="9"/>
        <v>3</v>
      </c>
      <c r="BF10" s="18">
        <f t="shared" si="10"/>
        <v>0</v>
      </c>
      <c r="BG10" s="18">
        <f t="shared" si="11"/>
        <v>1</v>
      </c>
      <c r="BH10" s="18">
        <f t="shared" si="12"/>
        <v>2</v>
      </c>
      <c r="BI10" s="18">
        <f t="shared" si="13"/>
        <v>0</v>
      </c>
    </row>
    <row r="11" spans="1:71" ht="37.5" customHeight="1" x14ac:dyDescent="0.3">
      <c r="A11" s="49" t="s">
        <v>37</v>
      </c>
      <c r="B11" s="126">
        <v>4</v>
      </c>
      <c r="C11" s="24" t="s">
        <v>87</v>
      </c>
      <c r="D11" s="24" t="s">
        <v>20</v>
      </c>
      <c r="E11" s="126">
        <v>3</v>
      </c>
      <c r="F11" s="28" t="s">
        <v>88</v>
      </c>
      <c r="G11" s="24" t="s">
        <v>89</v>
      </c>
      <c r="H11" s="24" t="s">
        <v>87</v>
      </c>
      <c r="I11" s="24" t="s">
        <v>21</v>
      </c>
      <c r="J11" s="129" t="s">
        <v>90</v>
      </c>
      <c r="K11" s="24" t="s">
        <v>89</v>
      </c>
      <c r="L11" s="24" t="s">
        <v>87</v>
      </c>
      <c r="M11" s="126">
        <v>1</v>
      </c>
      <c r="N11" s="28" t="s">
        <v>88</v>
      </c>
      <c r="O11" s="24" t="s">
        <v>89</v>
      </c>
      <c r="P11" s="130" t="s">
        <v>87</v>
      </c>
      <c r="Q11" s="24" t="s">
        <v>87</v>
      </c>
      <c r="R11" s="133">
        <v>4</v>
      </c>
      <c r="S11" s="24" t="s">
        <v>87</v>
      </c>
      <c r="T11" s="135" t="s">
        <v>23</v>
      </c>
      <c r="U11" s="126">
        <v>3</v>
      </c>
      <c r="V11" s="28" t="s">
        <v>88</v>
      </c>
      <c r="W11" s="24" t="s">
        <v>89</v>
      </c>
      <c r="X11" s="24" t="s">
        <v>87</v>
      </c>
      <c r="Y11" s="126" t="s">
        <v>34</v>
      </c>
      <c r="Z11" s="133">
        <v>2</v>
      </c>
      <c r="AA11" s="28" t="s">
        <v>88</v>
      </c>
      <c r="AB11" s="24" t="s">
        <v>89</v>
      </c>
      <c r="AC11" s="24" t="s">
        <v>87</v>
      </c>
      <c r="AD11" s="28" t="s">
        <v>24</v>
      </c>
      <c r="AE11" s="130" t="s">
        <v>87</v>
      </c>
      <c r="AF11" s="24" t="s">
        <v>20</v>
      </c>
      <c r="AG11" s="110"/>
      <c r="AH11" s="29">
        <f t="shared" si="14"/>
        <v>5</v>
      </c>
      <c r="AI11" s="29">
        <f t="shared" si="15"/>
        <v>4</v>
      </c>
      <c r="AJ11" s="29">
        <f t="shared" si="15"/>
        <v>2</v>
      </c>
      <c r="AK11" s="29">
        <f t="shared" si="15"/>
        <v>2</v>
      </c>
      <c r="AL11" s="29">
        <f t="shared" si="15"/>
        <v>3</v>
      </c>
      <c r="AM11" s="29">
        <f t="shared" si="15"/>
        <v>1</v>
      </c>
      <c r="AN11" s="28">
        <f t="shared" si="16"/>
        <v>9</v>
      </c>
      <c r="AO11" s="18">
        <f t="shared" si="22"/>
        <v>1</v>
      </c>
      <c r="AP11" s="18">
        <f t="shared" si="23"/>
        <v>4</v>
      </c>
      <c r="AQ11" s="18">
        <f t="shared" si="17"/>
        <v>2</v>
      </c>
      <c r="AR11" s="18">
        <f t="shared" si="18"/>
        <v>1</v>
      </c>
      <c r="AS11" s="18">
        <f t="shared" si="19"/>
        <v>2</v>
      </c>
      <c r="AT11" s="18">
        <f t="shared" si="20"/>
        <v>2</v>
      </c>
      <c r="AU11" s="18">
        <f t="shared" si="21"/>
        <v>0</v>
      </c>
      <c r="AV11" s="18">
        <f t="shared" si="2"/>
        <v>0</v>
      </c>
      <c r="AW11" s="18">
        <f t="shared" si="3"/>
        <v>0</v>
      </c>
      <c r="AX11" s="18">
        <f t="shared" si="4"/>
        <v>0</v>
      </c>
      <c r="AY11" s="18">
        <f t="shared" si="5"/>
        <v>0</v>
      </c>
      <c r="AZ11" s="18">
        <f t="shared" si="6"/>
        <v>0</v>
      </c>
      <c r="BA11" s="18">
        <f t="shared" si="7"/>
        <v>0</v>
      </c>
      <c r="BB11" s="18">
        <f t="shared" si="8"/>
        <v>0</v>
      </c>
      <c r="BC11" s="18"/>
      <c r="BD11" s="51" t="s">
        <v>23</v>
      </c>
      <c r="BE11" s="18">
        <f t="shared" si="9"/>
        <v>2</v>
      </c>
      <c r="BF11" s="18">
        <f t="shared" si="10"/>
        <v>1</v>
      </c>
      <c r="BG11" s="18">
        <f t="shared" si="11"/>
        <v>0</v>
      </c>
      <c r="BH11" s="18">
        <f t="shared" si="12"/>
        <v>1</v>
      </c>
      <c r="BI11" s="18">
        <f t="shared" si="13"/>
        <v>1</v>
      </c>
    </row>
    <row r="12" spans="1:71" ht="37.5" customHeight="1" x14ac:dyDescent="0.3">
      <c r="A12" s="49" t="s">
        <v>39</v>
      </c>
      <c r="B12" s="28" t="s">
        <v>90</v>
      </c>
      <c r="C12" s="24" t="s">
        <v>89</v>
      </c>
      <c r="D12" s="24" t="s">
        <v>87</v>
      </c>
      <c r="E12" s="28" t="s">
        <v>87</v>
      </c>
      <c r="F12" s="126">
        <v>1</v>
      </c>
      <c r="G12" s="24" t="s">
        <v>22</v>
      </c>
      <c r="H12" s="28" t="s">
        <v>90</v>
      </c>
      <c r="I12" s="24" t="s">
        <v>89</v>
      </c>
      <c r="J12" s="24" t="s">
        <v>87</v>
      </c>
      <c r="K12" s="24" t="s">
        <v>23</v>
      </c>
      <c r="L12" s="133">
        <v>4</v>
      </c>
      <c r="M12" s="24" t="s">
        <v>22</v>
      </c>
      <c r="N12" s="24" t="s">
        <v>87</v>
      </c>
      <c r="O12" s="133" t="s">
        <v>32</v>
      </c>
      <c r="P12" s="129" t="s">
        <v>90</v>
      </c>
      <c r="Q12" s="24" t="s">
        <v>89</v>
      </c>
      <c r="R12" s="24" t="s">
        <v>87</v>
      </c>
      <c r="S12" s="24" t="s">
        <v>20</v>
      </c>
      <c r="T12" s="28" t="s">
        <v>90</v>
      </c>
      <c r="U12" s="24" t="s">
        <v>89</v>
      </c>
      <c r="V12" s="24" t="s">
        <v>87</v>
      </c>
      <c r="W12" s="133">
        <v>4</v>
      </c>
      <c r="X12" s="28" t="s">
        <v>24</v>
      </c>
      <c r="Y12" s="133">
        <v>4</v>
      </c>
      <c r="Z12" s="24" t="s">
        <v>87</v>
      </c>
      <c r="AA12" s="133">
        <v>1</v>
      </c>
      <c r="AB12" s="28" t="s">
        <v>24</v>
      </c>
      <c r="AC12" s="28" t="s">
        <v>90</v>
      </c>
      <c r="AD12" s="24" t="s">
        <v>89</v>
      </c>
      <c r="AE12" s="24" t="s">
        <v>87</v>
      </c>
      <c r="AF12" s="28" t="s">
        <v>87</v>
      </c>
      <c r="AG12" s="112"/>
      <c r="AH12" s="29">
        <f t="shared" si="14"/>
        <v>5</v>
      </c>
      <c r="AI12" s="29">
        <f t="shared" si="15"/>
        <v>3</v>
      </c>
      <c r="AJ12" s="29">
        <f t="shared" si="15"/>
        <v>0</v>
      </c>
      <c r="AK12" s="29">
        <f t="shared" si="15"/>
        <v>3</v>
      </c>
      <c r="AL12" s="29">
        <f t="shared" si="15"/>
        <v>4</v>
      </c>
      <c r="AM12" s="29">
        <f t="shared" si="15"/>
        <v>2</v>
      </c>
      <c r="AN12" s="50">
        <f t="shared" si="16"/>
        <v>9</v>
      </c>
      <c r="AO12" s="18">
        <f t="shared" si="22"/>
        <v>5</v>
      </c>
      <c r="AP12" s="18">
        <f t="shared" si="23"/>
        <v>0</v>
      </c>
      <c r="AQ12" s="18">
        <f t="shared" si="17"/>
        <v>2</v>
      </c>
      <c r="AR12" s="18">
        <f t="shared" si="18"/>
        <v>0</v>
      </c>
      <c r="AS12" s="18">
        <f t="shared" si="19"/>
        <v>1</v>
      </c>
      <c r="AT12" s="18">
        <f t="shared" si="20"/>
        <v>3</v>
      </c>
      <c r="AU12" s="18">
        <f t="shared" si="21"/>
        <v>0</v>
      </c>
      <c r="AV12" s="18">
        <f t="shared" si="2"/>
        <v>0</v>
      </c>
      <c r="AW12" s="18">
        <f t="shared" si="3"/>
        <v>0</v>
      </c>
      <c r="AX12" s="18">
        <f t="shared" si="4"/>
        <v>0</v>
      </c>
      <c r="AY12" s="18">
        <f t="shared" si="5"/>
        <v>0</v>
      </c>
      <c r="AZ12" s="18">
        <f t="shared" si="6"/>
        <v>0</v>
      </c>
      <c r="BA12" s="18">
        <f t="shared" si="7"/>
        <v>0</v>
      </c>
      <c r="BB12" s="18">
        <f t="shared" si="8"/>
        <v>0</v>
      </c>
      <c r="BC12" s="18"/>
      <c r="BD12" s="51" t="s">
        <v>34</v>
      </c>
      <c r="BE12" s="18">
        <f t="shared" si="9"/>
        <v>1</v>
      </c>
      <c r="BF12" s="18">
        <f t="shared" si="10"/>
        <v>0</v>
      </c>
      <c r="BG12" s="18">
        <f t="shared" si="11"/>
        <v>2</v>
      </c>
      <c r="BH12" s="18">
        <f t="shared" si="12"/>
        <v>1</v>
      </c>
      <c r="BI12" s="18">
        <f t="shared" si="13"/>
        <v>2</v>
      </c>
    </row>
    <row r="13" spans="1:71" ht="37.5" customHeight="1" x14ac:dyDescent="0.3">
      <c r="A13" s="52" t="s">
        <v>40</v>
      </c>
      <c r="B13" s="129" t="s">
        <v>90</v>
      </c>
      <c r="C13" s="24" t="s">
        <v>89</v>
      </c>
      <c r="D13" s="24" t="s">
        <v>87</v>
      </c>
      <c r="E13" s="126">
        <v>1</v>
      </c>
      <c r="F13" s="24" t="s">
        <v>22</v>
      </c>
      <c r="G13" s="28" t="s">
        <v>88</v>
      </c>
      <c r="H13" s="24" t="s">
        <v>89</v>
      </c>
      <c r="I13" s="24" t="s">
        <v>87</v>
      </c>
      <c r="J13" s="24" t="s">
        <v>23</v>
      </c>
      <c r="K13" s="133">
        <v>4</v>
      </c>
      <c r="L13" s="28" t="s">
        <v>88</v>
      </c>
      <c r="M13" s="24" t="s">
        <v>89</v>
      </c>
      <c r="N13" s="24" t="s">
        <v>87</v>
      </c>
      <c r="O13" s="24" t="s">
        <v>87</v>
      </c>
      <c r="P13" s="28" t="s">
        <v>24</v>
      </c>
      <c r="Q13" s="128" t="s">
        <v>90</v>
      </c>
      <c r="R13" s="24" t="s">
        <v>89</v>
      </c>
      <c r="S13" s="24" t="s">
        <v>87</v>
      </c>
      <c r="T13" s="133">
        <v>1</v>
      </c>
      <c r="U13" s="126">
        <v>4</v>
      </c>
      <c r="V13" s="128" t="s">
        <v>90</v>
      </c>
      <c r="W13" s="24" t="s">
        <v>89</v>
      </c>
      <c r="X13" s="24" t="s">
        <v>87</v>
      </c>
      <c r="Y13" s="24" t="s">
        <v>87</v>
      </c>
      <c r="Z13" s="127">
        <v>4</v>
      </c>
      <c r="AA13" s="24" t="s">
        <v>20</v>
      </c>
      <c r="AB13" s="129" t="s">
        <v>90</v>
      </c>
      <c r="AC13" s="24" t="s">
        <v>89</v>
      </c>
      <c r="AD13" s="24" t="s">
        <v>87</v>
      </c>
      <c r="AE13" s="24" t="s">
        <v>87</v>
      </c>
      <c r="AF13" s="126">
        <v>1</v>
      </c>
      <c r="AG13" s="112"/>
      <c r="AH13" s="29">
        <f t="shared" si="14"/>
        <v>6</v>
      </c>
      <c r="AI13" s="29">
        <f t="shared" si="15"/>
        <v>4</v>
      </c>
      <c r="AJ13" s="29">
        <f t="shared" si="15"/>
        <v>0</v>
      </c>
      <c r="AK13" s="29">
        <f t="shared" si="15"/>
        <v>1</v>
      </c>
      <c r="AL13" s="29">
        <f t="shared" si="15"/>
        <v>4</v>
      </c>
      <c r="AM13" s="29">
        <f t="shared" si="15"/>
        <v>1</v>
      </c>
      <c r="AN13" s="50">
        <f t="shared" si="16"/>
        <v>9</v>
      </c>
      <c r="AO13" s="18">
        <f t="shared" si="22"/>
        <v>4</v>
      </c>
      <c r="AP13" s="18">
        <f t="shared" si="23"/>
        <v>2</v>
      </c>
      <c r="AQ13" s="18">
        <f t="shared" si="17"/>
        <v>3</v>
      </c>
      <c r="AR13" s="18">
        <f t="shared" si="18"/>
        <v>0</v>
      </c>
      <c r="AS13" s="18">
        <f t="shared" si="19"/>
        <v>0</v>
      </c>
      <c r="AT13" s="18">
        <f t="shared" si="20"/>
        <v>3</v>
      </c>
      <c r="AU13" s="18">
        <f t="shared" si="21"/>
        <v>0</v>
      </c>
      <c r="AV13" s="18">
        <f t="shared" si="2"/>
        <v>0</v>
      </c>
      <c r="AW13" s="18">
        <f t="shared" si="3"/>
        <v>0</v>
      </c>
      <c r="AX13" s="18">
        <f t="shared" si="4"/>
        <v>0</v>
      </c>
      <c r="AY13" s="18">
        <f t="shared" si="5"/>
        <v>0</v>
      </c>
      <c r="AZ13" s="18">
        <f t="shared" si="6"/>
        <v>0</v>
      </c>
      <c r="BA13" s="18">
        <f t="shared" si="7"/>
        <v>0</v>
      </c>
      <c r="BB13" s="18">
        <f t="shared" si="8"/>
        <v>0</v>
      </c>
      <c r="BC13" s="18"/>
      <c r="BD13" s="51" t="s">
        <v>38</v>
      </c>
      <c r="BE13" s="18">
        <f t="shared" si="9"/>
        <v>1</v>
      </c>
      <c r="BF13" s="18">
        <f t="shared" si="10"/>
        <v>0</v>
      </c>
      <c r="BG13" s="18">
        <f t="shared" si="11"/>
        <v>1</v>
      </c>
      <c r="BH13" s="18">
        <f t="shared" si="12"/>
        <v>1</v>
      </c>
      <c r="BI13" s="18">
        <f t="shared" si="13"/>
        <v>1</v>
      </c>
    </row>
    <row r="14" spans="1:71" ht="37.5" customHeight="1" x14ac:dyDescent="0.3">
      <c r="A14" s="52" t="s">
        <v>41</v>
      </c>
      <c r="B14" s="130" t="s">
        <v>87</v>
      </c>
      <c r="C14" s="24" t="s">
        <v>20</v>
      </c>
      <c r="D14" s="24" t="s">
        <v>87</v>
      </c>
      <c r="E14" s="24" t="s">
        <v>23</v>
      </c>
      <c r="F14" s="28" t="s">
        <v>90</v>
      </c>
      <c r="G14" s="24" t="s">
        <v>89</v>
      </c>
      <c r="H14" s="130" t="s">
        <v>87</v>
      </c>
      <c r="I14" s="130" t="s">
        <v>87</v>
      </c>
      <c r="J14" s="133">
        <v>4</v>
      </c>
      <c r="K14" s="24" t="s">
        <v>87</v>
      </c>
      <c r="L14" s="28" t="s">
        <v>24</v>
      </c>
      <c r="M14" s="24" t="s">
        <v>23</v>
      </c>
      <c r="N14" s="28" t="s">
        <v>90</v>
      </c>
      <c r="O14" s="24" t="s">
        <v>89</v>
      </c>
      <c r="P14" s="24" t="s">
        <v>87</v>
      </c>
      <c r="Q14" s="126">
        <v>2</v>
      </c>
      <c r="R14" s="24" t="s">
        <v>23</v>
      </c>
      <c r="S14" s="129" t="s">
        <v>90</v>
      </c>
      <c r="T14" s="24" t="s">
        <v>89</v>
      </c>
      <c r="U14" s="24" t="s">
        <v>87</v>
      </c>
      <c r="V14" s="126">
        <v>1</v>
      </c>
      <c r="W14" s="24" t="s">
        <v>23</v>
      </c>
      <c r="X14" s="130" t="s">
        <v>87</v>
      </c>
      <c r="Y14" s="28" t="s">
        <v>90</v>
      </c>
      <c r="Z14" s="24" t="s">
        <v>89</v>
      </c>
      <c r="AA14" s="24" t="s">
        <v>87</v>
      </c>
      <c r="AB14" s="126">
        <v>3</v>
      </c>
      <c r="AC14" s="24" t="s">
        <v>20</v>
      </c>
      <c r="AD14" s="133">
        <v>4</v>
      </c>
      <c r="AE14" s="129" t="s">
        <v>90</v>
      </c>
      <c r="AF14" s="130" t="s">
        <v>89</v>
      </c>
      <c r="AG14" s="112"/>
      <c r="AH14" s="29">
        <f t="shared" si="14"/>
        <v>5</v>
      </c>
      <c r="AI14" s="29">
        <f t="shared" si="15"/>
        <v>3</v>
      </c>
      <c r="AJ14" s="29">
        <f t="shared" si="15"/>
        <v>1</v>
      </c>
      <c r="AK14" s="29">
        <f t="shared" si="15"/>
        <v>1</v>
      </c>
      <c r="AL14" s="29">
        <f t="shared" si="15"/>
        <v>6</v>
      </c>
      <c r="AM14" s="29">
        <f t="shared" si="15"/>
        <v>1</v>
      </c>
      <c r="AN14" s="50">
        <f t="shared" si="16"/>
        <v>9</v>
      </c>
      <c r="AO14" s="18">
        <f t="shared" si="22"/>
        <v>5</v>
      </c>
      <c r="AP14" s="18">
        <f t="shared" si="23"/>
        <v>0</v>
      </c>
      <c r="AQ14" s="18">
        <f t="shared" si="17"/>
        <v>1</v>
      </c>
      <c r="AR14" s="18">
        <f t="shared" si="18"/>
        <v>1</v>
      </c>
      <c r="AS14" s="18">
        <f t="shared" si="19"/>
        <v>1</v>
      </c>
      <c r="AT14" s="18">
        <f t="shared" si="20"/>
        <v>2</v>
      </c>
      <c r="AU14" s="18">
        <f t="shared" si="21"/>
        <v>0</v>
      </c>
      <c r="AV14" s="18">
        <f t="shared" si="2"/>
        <v>0</v>
      </c>
      <c r="AW14" s="18">
        <f t="shared" si="3"/>
        <v>0</v>
      </c>
      <c r="AX14" s="18">
        <f t="shared" si="4"/>
        <v>0</v>
      </c>
      <c r="AY14" s="18">
        <f t="shared" si="5"/>
        <v>0</v>
      </c>
      <c r="AZ14" s="18">
        <f t="shared" si="6"/>
        <v>0</v>
      </c>
      <c r="BA14" s="18">
        <f t="shared" si="7"/>
        <v>0</v>
      </c>
      <c r="BB14" s="18">
        <f t="shared" si="8"/>
        <v>0</v>
      </c>
      <c r="BC14" s="18"/>
      <c r="BD14" s="51" t="s">
        <v>32</v>
      </c>
      <c r="BE14" s="18">
        <f t="shared" si="9"/>
        <v>2</v>
      </c>
      <c r="BF14" s="18">
        <f t="shared" si="10"/>
        <v>0</v>
      </c>
      <c r="BG14" s="18">
        <f t="shared" si="11"/>
        <v>0</v>
      </c>
      <c r="BH14" s="18">
        <f t="shared" si="12"/>
        <v>4</v>
      </c>
      <c r="BI14" s="18">
        <f t="shared" si="13"/>
        <v>1</v>
      </c>
    </row>
    <row r="15" spans="1:71" ht="37.5" customHeight="1" x14ac:dyDescent="0.3">
      <c r="A15" s="49" t="s">
        <v>42</v>
      </c>
      <c r="B15" s="130" t="s">
        <v>87</v>
      </c>
      <c r="C15" s="126">
        <v>4</v>
      </c>
      <c r="D15" s="129" t="s">
        <v>90</v>
      </c>
      <c r="E15" s="24" t="s">
        <v>89</v>
      </c>
      <c r="F15" s="24" t="s">
        <v>87</v>
      </c>
      <c r="G15" s="133">
        <v>4</v>
      </c>
      <c r="H15" s="24" t="s">
        <v>87</v>
      </c>
      <c r="I15" s="136">
        <v>3</v>
      </c>
      <c r="J15" s="28" t="s">
        <v>87</v>
      </c>
      <c r="K15" s="128" t="s">
        <v>88</v>
      </c>
      <c r="L15" s="24" t="s">
        <v>89</v>
      </c>
      <c r="M15" s="24" t="s">
        <v>87</v>
      </c>
      <c r="N15" s="24" t="s">
        <v>23</v>
      </c>
      <c r="O15" s="24" t="s">
        <v>20</v>
      </c>
      <c r="P15" s="28" t="s">
        <v>90</v>
      </c>
      <c r="Q15" s="24" t="s">
        <v>89</v>
      </c>
      <c r="R15" s="24" t="s">
        <v>87</v>
      </c>
      <c r="S15" s="126">
        <v>1</v>
      </c>
      <c r="T15" s="24" t="s">
        <v>20</v>
      </c>
      <c r="U15" s="28" t="s">
        <v>24</v>
      </c>
      <c r="V15" s="28" t="s">
        <v>87</v>
      </c>
      <c r="W15" s="28" t="s">
        <v>90</v>
      </c>
      <c r="X15" s="24" t="s">
        <v>89</v>
      </c>
      <c r="Y15" s="24" t="s">
        <v>87</v>
      </c>
      <c r="Z15" s="133">
        <v>1</v>
      </c>
      <c r="AA15" s="24" t="s">
        <v>23</v>
      </c>
      <c r="AB15" s="24" t="s">
        <v>87</v>
      </c>
      <c r="AC15" s="127">
        <v>4</v>
      </c>
      <c r="AD15" s="128" t="s">
        <v>88</v>
      </c>
      <c r="AE15" s="24" t="s">
        <v>89</v>
      </c>
      <c r="AF15" s="24" t="s">
        <v>87</v>
      </c>
      <c r="AG15" s="110"/>
      <c r="AH15" s="29">
        <f t="shared" si="14"/>
        <v>5</v>
      </c>
      <c r="AI15" s="29">
        <f t="shared" si="15"/>
        <v>4</v>
      </c>
      <c r="AJ15" s="29">
        <f t="shared" si="15"/>
        <v>0</v>
      </c>
      <c r="AK15" s="29">
        <f t="shared" si="15"/>
        <v>1</v>
      </c>
      <c r="AL15" s="29">
        <f t="shared" si="15"/>
        <v>5</v>
      </c>
      <c r="AM15" s="29">
        <f t="shared" si="15"/>
        <v>1</v>
      </c>
      <c r="AN15" s="50">
        <f t="shared" si="16"/>
        <v>10</v>
      </c>
      <c r="AO15" s="18">
        <f t="shared" si="22"/>
        <v>3</v>
      </c>
      <c r="AP15" s="18">
        <f t="shared" si="23"/>
        <v>2</v>
      </c>
      <c r="AQ15" s="18">
        <f t="shared" si="17"/>
        <v>2</v>
      </c>
      <c r="AR15" s="18">
        <f t="shared" si="18"/>
        <v>0</v>
      </c>
      <c r="AS15" s="18">
        <f t="shared" si="19"/>
        <v>1</v>
      </c>
      <c r="AT15" s="18">
        <f t="shared" si="20"/>
        <v>3</v>
      </c>
      <c r="AU15" s="18">
        <f t="shared" si="21"/>
        <v>0</v>
      </c>
      <c r="AV15" s="18">
        <f t="shared" si="2"/>
        <v>0</v>
      </c>
      <c r="AW15" s="18">
        <f t="shared" si="3"/>
        <v>0</v>
      </c>
      <c r="AX15" s="18">
        <f t="shared" si="4"/>
        <v>0</v>
      </c>
      <c r="AY15" s="18">
        <f t="shared" si="5"/>
        <v>0</v>
      </c>
      <c r="AZ15" s="18">
        <f t="shared" si="6"/>
        <v>0</v>
      </c>
      <c r="BA15" s="18">
        <f t="shared" si="7"/>
        <v>0</v>
      </c>
      <c r="BB15" s="18">
        <f t="shared" si="8"/>
        <v>0</v>
      </c>
      <c r="BC15" s="18"/>
      <c r="BD15" s="51" t="s">
        <v>36</v>
      </c>
      <c r="BE15" s="18">
        <f t="shared" si="9"/>
        <v>2</v>
      </c>
      <c r="BF15" s="18">
        <f t="shared" si="10"/>
        <v>0</v>
      </c>
      <c r="BG15" s="18">
        <f t="shared" si="11"/>
        <v>0</v>
      </c>
      <c r="BH15" s="18">
        <f t="shared" si="12"/>
        <v>2</v>
      </c>
      <c r="BI15" s="18">
        <f t="shared" si="13"/>
        <v>1</v>
      </c>
    </row>
    <row r="16" spans="1:71" ht="37.5" customHeight="1" x14ac:dyDescent="0.3">
      <c r="A16" s="49" t="s">
        <v>43</v>
      </c>
      <c r="B16" s="130" t="s">
        <v>89</v>
      </c>
      <c r="C16" s="130" t="s">
        <v>87</v>
      </c>
      <c r="D16" s="133">
        <v>4</v>
      </c>
      <c r="E16" s="24" t="s">
        <v>23</v>
      </c>
      <c r="F16" s="24" t="s">
        <v>87</v>
      </c>
      <c r="G16" s="129" t="s">
        <v>90</v>
      </c>
      <c r="H16" s="24" t="s">
        <v>89</v>
      </c>
      <c r="I16" s="24" t="s">
        <v>87</v>
      </c>
      <c r="J16" s="126">
        <v>1</v>
      </c>
      <c r="K16" s="28" t="s">
        <v>24</v>
      </c>
      <c r="L16" s="28" t="s">
        <v>90</v>
      </c>
      <c r="M16" s="24" t="s">
        <v>89</v>
      </c>
      <c r="N16" s="24" t="s">
        <v>87</v>
      </c>
      <c r="O16" s="133">
        <v>1</v>
      </c>
      <c r="P16" s="130" t="s">
        <v>87</v>
      </c>
      <c r="Q16" s="24" t="s">
        <v>23</v>
      </c>
      <c r="R16" s="28" t="s">
        <v>90</v>
      </c>
      <c r="S16" s="24" t="s">
        <v>89</v>
      </c>
      <c r="T16" s="130" t="s">
        <v>87</v>
      </c>
      <c r="U16" s="127">
        <v>1</v>
      </c>
      <c r="V16" s="24" t="s">
        <v>23</v>
      </c>
      <c r="W16" s="130" t="s">
        <v>87</v>
      </c>
      <c r="X16" s="28" t="s">
        <v>90</v>
      </c>
      <c r="Y16" s="24" t="s">
        <v>89</v>
      </c>
      <c r="Z16" s="24" t="s">
        <v>87</v>
      </c>
      <c r="AA16" s="133">
        <v>3</v>
      </c>
      <c r="AB16" s="24" t="s">
        <v>20</v>
      </c>
      <c r="AC16" s="129" t="s">
        <v>90</v>
      </c>
      <c r="AD16" s="24" t="s">
        <v>89</v>
      </c>
      <c r="AE16" s="24" t="s">
        <v>87</v>
      </c>
      <c r="AF16" s="24" t="s">
        <v>23</v>
      </c>
      <c r="AG16" s="28"/>
      <c r="AH16" s="29">
        <f t="shared" si="14"/>
        <v>5</v>
      </c>
      <c r="AI16" s="29">
        <f t="shared" si="15"/>
        <v>4</v>
      </c>
      <c r="AJ16" s="29">
        <f t="shared" si="15"/>
        <v>0</v>
      </c>
      <c r="AK16" s="29">
        <f t="shared" si="15"/>
        <v>1</v>
      </c>
      <c r="AL16" s="29">
        <f t="shared" si="15"/>
        <v>5</v>
      </c>
      <c r="AM16" s="29">
        <f t="shared" si="15"/>
        <v>1</v>
      </c>
      <c r="AN16" s="50">
        <f t="shared" si="16"/>
        <v>9</v>
      </c>
      <c r="AO16" s="18">
        <f t="shared" si="22"/>
        <v>5</v>
      </c>
      <c r="AP16" s="18">
        <f t="shared" si="23"/>
        <v>0</v>
      </c>
      <c r="AQ16" s="18">
        <f t="shared" si="17"/>
        <v>3</v>
      </c>
      <c r="AR16" s="18">
        <f t="shared" si="18"/>
        <v>0</v>
      </c>
      <c r="AS16" s="18">
        <f t="shared" si="19"/>
        <v>1</v>
      </c>
      <c r="AT16" s="18">
        <f t="shared" si="20"/>
        <v>1</v>
      </c>
      <c r="AU16" s="18">
        <f t="shared" si="21"/>
        <v>0</v>
      </c>
      <c r="AV16" s="18">
        <f t="shared" si="2"/>
        <v>0</v>
      </c>
      <c r="AW16" s="18">
        <f t="shared" si="3"/>
        <v>0</v>
      </c>
      <c r="AX16" s="18">
        <f t="shared" si="4"/>
        <v>0</v>
      </c>
      <c r="AY16" s="18">
        <f t="shared" si="5"/>
        <v>0</v>
      </c>
      <c r="AZ16" s="18">
        <f t="shared" si="6"/>
        <v>0</v>
      </c>
      <c r="BA16" s="18">
        <f t="shared" si="7"/>
        <v>0</v>
      </c>
      <c r="BB16" s="18">
        <f t="shared" si="8"/>
        <v>0</v>
      </c>
      <c r="BC16" s="18"/>
      <c r="BD16" s="53"/>
      <c r="BE16" s="18">
        <f t="shared" si="9"/>
        <v>1</v>
      </c>
      <c r="BF16" s="18">
        <f t="shared" si="10"/>
        <v>0</v>
      </c>
      <c r="BG16" s="18">
        <f t="shared" si="11"/>
        <v>0</v>
      </c>
      <c r="BH16" s="18">
        <f t="shared" si="12"/>
        <v>4</v>
      </c>
      <c r="BI16" s="18">
        <f t="shared" si="13"/>
        <v>1</v>
      </c>
    </row>
    <row r="17" spans="1:61" ht="37.5" customHeight="1" x14ac:dyDescent="0.3">
      <c r="A17" s="54" t="s">
        <v>44</v>
      </c>
      <c r="B17" s="28" t="s">
        <v>88</v>
      </c>
      <c r="C17" s="24" t="s">
        <v>89</v>
      </c>
      <c r="D17" s="24" t="s">
        <v>87</v>
      </c>
      <c r="E17" s="24" t="s">
        <v>20</v>
      </c>
      <c r="F17" s="126">
        <v>4</v>
      </c>
      <c r="G17" s="24" t="s">
        <v>87</v>
      </c>
      <c r="H17" s="28" t="s">
        <v>88</v>
      </c>
      <c r="I17" s="24" t="s">
        <v>89</v>
      </c>
      <c r="J17" s="24" t="s">
        <v>87</v>
      </c>
      <c r="K17" s="24" t="s">
        <v>20</v>
      </c>
      <c r="L17" s="136">
        <v>3</v>
      </c>
      <c r="M17" s="133">
        <v>2</v>
      </c>
      <c r="N17" s="24" t="s">
        <v>87</v>
      </c>
      <c r="O17" s="28" t="s">
        <v>87</v>
      </c>
      <c r="P17" s="24" t="s">
        <v>20</v>
      </c>
      <c r="Q17" s="129" t="s">
        <v>90</v>
      </c>
      <c r="R17" s="130" t="s">
        <v>89</v>
      </c>
      <c r="S17" s="130" t="s">
        <v>87</v>
      </c>
      <c r="T17" s="131" t="s">
        <v>87</v>
      </c>
      <c r="U17" s="131" t="s">
        <v>87</v>
      </c>
      <c r="V17" s="133">
        <v>4</v>
      </c>
      <c r="W17" s="28" t="s">
        <v>24</v>
      </c>
      <c r="X17" s="28" t="s">
        <v>88</v>
      </c>
      <c r="Y17" s="24" t="s">
        <v>89</v>
      </c>
      <c r="Z17" s="24" t="s">
        <v>87</v>
      </c>
      <c r="AA17" s="28" t="s">
        <v>24</v>
      </c>
      <c r="AB17" s="134" t="s">
        <v>88</v>
      </c>
      <c r="AC17" s="130" t="s">
        <v>89</v>
      </c>
      <c r="AD17" s="130" t="s">
        <v>87</v>
      </c>
      <c r="AE17" s="24" t="s">
        <v>87</v>
      </c>
      <c r="AF17" s="24" t="s">
        <v>20</v>
      </c>
      <c r="AG17" s="24"/>
      <c r="AH17" s="29">
        <f t="shared" si="14"/>
        <v>5</v>
      </c>
      <c r="AI17" s="29">
        <f t="shared" si="15"/>
        <v>4</v>
      </c>
      <c r="AJ17" s="29">
        <f t="shared" si="15"/>
        <v>1</v>
      </c>
      <c r="AK17" s="29">
        <f t="shared" si="15"/>
        <v>1</v>
      </c>
      <c r="AL17" s="29">
        <f t="shared" si="15"/>
        <v>2</v>
      </c>
      <c r="AM17" s="29">
        <f t="shared" si="15"/>
        <v>2</v>
      </c>
      <c r="AN17" s="50">
        <f t="shared" si="16"/>
        <v>11</v>
      </c>
      <c r="AO17" s="18">
        <f t="shared" si="22"/>
        <v>1</v>
      </c>
      <c r="AP17" s="18">
        <f t="shared" si="23"/>
        <v>4</v>
      </c>
      <c r="AQ17" s="18">
        <f t="shared" si="17"/>
        <v>0</v>
      </c>
      <c r="AR17" s="18">
        <f t="shared" si="18"/>
        <v>1</v>
      </c>
      <c r="AS17" s="18">
        <f t="shared" si="19"/>
        <v>1</v>
      </c>
      <c r="AT17" s="18">
        <f t="shared" si="20"/>
        <v>2</v>
      </c>
      <c r="AU17" s="18">
        <f t="shared" si="21"/>
        <v>0</v>
      </c>
      <c r="AV17" s="18">
        <f t="shared" si="2"/>
        <v>0</v>
      </c>
      <c r="AW17" s="18">
        <f t="shared" si="3"/>
        <v>0</v>
      </c>
      <c r="AX17" s="18">
        <f t="shared" si="4"/>
        <v>0</v>
      </c>
      <c r="AY17" s="18">
        <f t="shared" si="5"/>
        <v>0</v>
      </c>
      <c r="AZ17" s="18">
        <f t="shared" si="6"/>
        <v>0</v>
      </c>
      <c r="BA17" s="18">
        <f t="shared" si="7"/>
        <v>0</v>
      </c>
      <c r="BB17" s="18">
        <f t="shared" si="8"/>
        <v>0</v>
      </c>
      <c r="BC17" s="18"/>
      <c r="BD17" s="26"/>
      <c r="BE17" s="18">
        <f t="shared" si="9"/>
        <v>4</v>
      </c>
      <c r="BF17" s="18">
        <f t="shared" si="10"/>
        <v>0</v>
      </c>
      <c r="BG17" s="18">
        <f t="shared" si="11"/>
        <v>0</v>
      </c>
      <c r="BH17" s="18">
        <f t="shared" si="12"/>
        <v>0</v>
      </c>
      <c r="BI17" s="18">
        <f t="shared" si="13"/>
        <v>2</v>
      </c>
    </row>
    <row r="18" spans="1:61" ht="37.5" customHeight="1" x14ac:dyDescent="0.3">
      <c r="A18" s="54" t="s">
        <v>45</v>
      </c>
      <c r="B18" s="130" t="s">
        <v>87</v>
      </c>
      <c r="C18" s="133">
        <v>1</v>
      </c>
      <c r="D18" s="28" t="s">
        <v>87</v>
      </c>
      <c r="E18" s="126">
        <v>2</v>
      </c>
      <c r="F18" s="28" t="s">
        <v>24</v>
      </c>
      <c r="G18" s="28" t="s">
        <v>90</v>
      </c>
      <c r="H18" s="24" t="s">
        <v>89</v>
      </c>
      <c r="I18" s="130" t="s">
        <v>87</v>
      </c>
      <c r="J18" s="24" t="s">
        <v>20</v>
      </c>
      <c r="K18" s="133">
        <v>4</v>
      </c>
      <c r="L18" s="130" t="s">
        <v>87</v>
      </c>
      <c r="M18" s="28" t="s">
        <v>90</v>
      </c>
      <c r="N18" s="24" t="s">
        <v>89</v>
      </c>
      <c r="O18" s="24" t="s">
        <v>87</v>
      </c>
      <c r="P18" s="133">
        <v>4</v>
      </c>
      <c r="Q18" s="28" t="s">
        <v>24</v>
      </c>
      <c r="R18" s="129" t="s">
        <v>90</v>
      </c>
      <c r="S18" s="24" t="s">
        <v>89</v>
      </c>
      <c r="T18" s="130" t="s">
        <v>87</v>
      </c>
      <c r="U18" s="28" t="s">
        <v>90</v>
      </c>
      <c r="V18" s="24" t="s">
        <v>89</v>
      </c>
      <c r="W18" s="24" t="s">
        <v>87</v>
      </c>
      <c r="X18" s="24" t="s">
        <v>20</v>
      </c>
      <c r="Y18" s="133">
        <v>4</v>
      </c>
      <c r="Z18" s="129" t="s">
        <v>90</v>
      </c>
      <c r="AA18" s="24" t="s">
        <v>89</v>
      </c>
      <c r="AB18" s="24" t="s">
        <v>87</v>
      </c>
      <c r="AC18" s="24" t="s">
        <v>20</v>
      </c>
      <c r="AD18" s="28" t="s">
        <v>90</v>
      </c>
      <c r="AE18" s="24" t="s">
        <v>89</v>
      </c>
      <c r="AF18" s="24" t="s">
        <v>87</v>
      </c>
      <c r="AG18" s="110"/>
      <c r="AH18" s="29">
        <f t="shared" si="14"/>
        <v>6</v>
      </c>
      <c r="AI18" s="29">
        <f t="shared" si="15"/>
        <v>4</v>
      </c>
      <c r="AJ18" s="29">
        <f t="shared" si="15"/>
        <v>1</v>
      </c>
      <c r="AK18" s="29">
        <f t="shared" si="15"/>
        <v>0</v>
      </c>
      <c r="AL18" s="29">
        <f t="shared" si="15"/>
        <v>3</v>
      </c>
      <c r="AM18" s="29">
        <f t="shared" si="15"/>
        <v>2</v>
      </c>
      <c r="AN18" s="29">
        <f t="shared" si="16"/>
        <v>9</v>
      </c>
      <c r="AO18" s="18">
        <f t="shared" si="22"/>
        <v>6</v>
      </c>
      <c r="AP18" s="18">
        <f t="shared" si="23"/>
        <v>0</v>
      </c>
      <c r="AQ18" s="18">
        <f t="shared" si="17"/>
        <v>1</v>
      </c>
      <c r="AR18" s="18">
        <f t="shared" si="18"/>
        <v>1</v>
      </c>
      <c r="AS18" s="18">
        <f t="shared" si="19"/>
        <v>0</v>
      </c>
      <c r="AT18" s="18">
        <f t="shared" si="20"/>
        <v>3</v>
      </c>
      <c r="AU18" s="18">
        <f t="shared" si="21"/>
        <v>0</v>
      </c>
      <c r="AV18" s="18">
        <f t="shared" si="2"/>
        <v>0</v>
      </c>
      <c r="AW18" s="18">
        <f t="shared" si="3"/>
        <v>0</v>
      </c>
      <c r="AX18" s="18">
        <f t="shared" si="4"/>
        <v>0</v>
      </c>
      <c r="AY18" s="18">
        <f t="shared" si="5"/>
        <v>0</v>
      </c>
      <c r="AZ18" s="18">
        <f t="shared" si="6"/>
        <v>0</v>
      </c>
      <c r="BA18" s="18">
        <f t="shared" si="7"/>
        <v>0</v>
      </c>
      <c r="BB18" s="18">
        <f t="shared" si="8"/>
        <v>0</v>
      </c>
      <c r="BC18" s="18"/>
      <c r="BD18" s="26"/>
      <c r="BE18" s="18">
        <f t="shared" si="9"/>
        <v>3</v>
      </c>
      <c r="BF18" s="18">
        <f t="shared" si="10"/>
        <v>0</v>
      </c>
      <c r="BG18" s="18">
        <f t="shared" si="11"/>
        <v>0</v>
      </c>
      <c r="BH18" s="18">
        <f t="shared" si="12"/>
        <v>0</v>
      </c>
      <c r="BI18" s="18">
        <f t="shared" si="13"/>
        <v>2</v>
      </c>
    </row>
    <row r="19" spans="1:61" ht="37.5" customHeight="1" x14ac:dyDescent="0.3">
      <c r="A19" s="49" t="s">
        <v>46</v>
      </c>
      <c r="B19" s="24" t="s">
        <v>23</v>
      </c>
      <c r="C19" s="28" t="s">
        <v>90</v>
      </c>
      <c r="D19" s="24" t="s">
        <v>89</v>
      </c>
      <c r="E19" s="24" t="s">
        <v>87</v>
      </c>
      <c r="F19" s="24" t="s">
        <v>20</v>
      </c>
      <c r="G19" s="28" t="s">
        <v>24</v>
      </c>
      <c r="H19" s="130" t="s">
        <v>87</v>
      </c>
      <c r="I19" s="129" t="s">
        <v>90</v>
      </c>
      <c r="J19" s="24" t="s">
        <v>89</v>
      </c>
      <c r="K19" s="24" t="s">
        <v>87</v>
      </c>
      <c r="L19" s="133">
        <v>4</v>
      </c>
      <c r="M19" s="24" t="s">
        <v>23</v>
      </c>
      <c r="N19" s="28" t="s">
        <v>87</v>
      </c>
      <c r="O19" s="28" t="s">
        <v>90</v>
      </c>
      <c r="P19" s="24" t="s">
        <v>89</v>
      </c>
      <c r="Q19" s="24" t="s">
        <v>87</v>
      </c>
      <c r="R19" s="133">
        <v>1</v>
      </c>
      <c r="S19" s="28" t="s">
        <v>24</v>
      </c>
      <c r="T19" s="129" t="s">
        <v>90</v>
      </c>
      <c r="U19" s="24" t="s">
        <v>89</v>
      </c>
      <c r="V19" s="24" t="s">
        <v>87</v>
      </c>
      <c r="W19" s="133">
        <v>1</v>
      </c>
      <c r="X19" s="24" t="s">
        <v>87</v>
      </c>
      <c r="Y19" s="133" t="s">
        <v>101</v>
      </c>
      <c r="Z19" s="24" t="s">
        <v>20</v>
      </c>
      <c r="AA19" s="28" t="s">
        <v>90</v>
      </c>
      <c r="AB19" s="24" t="s">
        <v>89</v>
      </c>
      <c r="AC19" s="24" t="s">
        <v>87</v>
      </c>
      <c r="AD19" s="28" t="s">
        <v>87</v>
      </c>
      <c r="AE19" s="126">
        <v>3</v>
      </c>
      <c r="AF19" s="128" t="s">
        <v>88</v>
      </c>
      <c r="AG19" s="110"/>
      <c r="AH19" s="29">
        <f t="shared" si="14"/>
        <v>6</v>
      </c>
      <c r="AI19" s="29">
        <f t="shared" si="15"/>
        <v>4</v>
      </c>
      <c r="AJ19" s="29">
        <f t="shared" si="15"/>
        <v>0</v>
      </c>
      <c r="AK19" s="29">
        <f t="shared" si="15"/>
        <v>1</v>
      </c>
      <c r="AL19" s="29">
        <f t="shared" si="15"/>
        <v>3</v>
      </c>
      <c r="AM19" s="29">
        <f t="shared" si="15"/>
        <v>2</v>
      </c>
      <c r="AN19" s="29">
        <f t="shared" si="16"/>
        <v>9</v>
      </c>
      <c r="AO19" s="18">
        <f t="shared" si="22"/>
        <v>5</v>
      </c>
      <c r="AP19" s="18">
        <f t="shared" si="23"/>
        <v>1</v>
      </c>
      <c r="AQ19" s="18">
        <f t="shared" si="17"/>
        <v>2</v>
      </c>
      <c r="AR19" s="18">
        <f t="shared" si="18"/>
        <v>0</v>
      </c>
      <c r="AS19" s="18">
        <f t="shared" si="19"/>
        <v>1</v>
      </c>
      <c r="AT19" s="18">
        <f t="shared" si="20"/>
        <v>1</v>
      </c>
      <c r="AU19" s="18">
        <f t="shared" si="21"/>
        <v>0</v>
      </c>
      <c r="AV19" s="18">
        <f t="shared" si="2"/>
        <v>0</v>
      </c>
      <c r="AW19" s="18">
        <f t="shared" si="3"/>
        <v>0</v>
      </c>
      <c r="AX19" s="18">
        <f t="shared" si="4"/>
        <v>0</v>
      </c>
      <c r="AY19" s="18">
        <f t="shared" si="5"/>
        <v>0</v>
      </c>
      <c r="AZ19" s="18">
        <f t="shared" si="6"/>
        <v>0</v>
      </c>
      <c r="BA19" s="18">
        <f t="shared" si="7"/>
        <v>0</v>
      </c>
      <c r="BB19" s="18">
        <f t="shared" si="8"/>
        <v>0</v>
      </c>
      <c r="BC19" s="18"/>
      <c r="BD19" s="51"/>
      <c r="BE19" s="18">
        <f t="shared" si="9"/>
        <v>2</v>
      </c>
      <c r="BF19" s="18">
        <f t="shared" si="10"/>
        <v>0</v>
      </c>
      <c r="BG19" s="18">
        <f t="shared" si="11"/>
        <v>0</v>
      </c>
      <c r="BH19" s="18">
        <f t="shared" si="12"/>
        <v>2</v>
      </c>
      <c r="BI19" s="18">
        <f t="shared" si="13"/>
        <v>2</v>
      </c>
    </row>
    <row r="20" spans="1:61" ht="37.5" customHeight="1" x14ac:dyDescent="0.3">
      <c r="A20" s="49" t="s">
        <v>47</v>
      </c>
      <c r="B20" s="126">
        <v>1</v>
      </c>
      <c r="C20" s="28" t="s">
        <v>24</v>
      </c>
      <c r="D20" s="28" t="s">
        <v>90</v>
      </c>
      <c r="E20" s="24" t="s">
        <v>89</v>
      </c>
      <c r="F20" s="24" t="s">
        <v>87</v>
      </c>
      <c r="G20" s="24" t="s">
        <v>21</v>
      </c>
      <c r="H20" s="28" t="s">
        <v>87</v>
      </c>
      <c r="I20" s="126">
        <v>1</v>
      </c>
      <c r="J20" s="128" t="s">
        <v>88</v>
      </c>
      <c r="K20" s="24" t="s">
        <v>89</v>
      </c>
      <c r="L20" s="24" t="s">
        <v>87</v>
      </c>
      <c r="M20" s="133">
        <v>4</v>
      </c>
      <c r="N20" s="28" t="s">
        <v>24</v>
      </c>
      <c r="O20" s="129" t="s">
        <v>90</v>
      </c>
      <c r="P20" s="24" t="s">
        <v>89</v>
      </c>
      <c r="Q20" s="24" t="s">
        <v>87</v>
      </c>
      <c r="R20" s="137">
        <v>4</v>
      </c>
      <c r="S20" s="24" t="s">
        <v>22</v>
      </c>
      <c r="T20" s="126">
        <v>4</v>
      </c>
      <c r="U20" s="24" t="s">
        <v>87</v>
      </c>
      <c r="V20" s="24" t="s">
        <v>20</v>
      </c>
      <c r="W20" s="28" t="s">
        <v>87</v>
      </c>
      <c r="X20" s="129" t="s">
        <v>90</v>
      </c>
      <c r="Y20" s="24" t="s">
        <v>89</v>
      </c>
      <c r="Z20" s="24" t="s">
        <v>87</v>
      </c>
      <c r="AA20" s="28" t="s">
        <v>87</v>
      </c>
      <c r="AB20" s="126">
        <v>1</v>
      </c>
      <c r="AC20" s="24" t="s">
        <v>87</v>
      </c>
      <c r="AD20" s="24" t="s">
        <v>23</v>
      </c>
      <c r="AE20" s="28" t="s">
        <v>90</v>
      </c>
      <c r="AF20" s="24" t="s">
        <v>89</v>
      </c>
      <c r="AG20" s="50"/>
      <c r="AH20" s="29">
        <f t="shared" si="14"/>
        <v>5</v>
      </c>
      <c r="AI20" s="29">
        <f t="shared" si="15"/>
        <v>4</v>
      </c>
      <c r="AJ20" s="29">
        <f t="shared" si="15"/>
        <v>1</v>
      </c>
      <c r="AK20" s="29">
        <f t="shared" si="15"/>
        <v>1</v>
      </c>
      <c r="AL20" s="29">
        <f t="shared" si="15"/>
        <v>4</v>
      </c>
      <c r="AM20" s="29">
        <f t="shared" si="15"/>
        <v>2</v>
      </c>
      <c r="AN20" s="29">
        <f t="shared" si="16"/>
        <v>9</v>
      </c>
      <c r="AO20" s="18">
        <f t="shared" si="22"/>
        <v>4</v>
      </c>
      <c r="AP20" s="18">
        <f t="shared" si="23"/>
        <v>1</v>
      </c>
      <c r="AQ20" s="18">
        <f t="shared" si="17"/>
        <v>3</v>
      </c>
      <c r="AR20" s="18">
        <f t="shared" si="18"/>
        <v>0</v>
      </c>
      <c r="AS20" s="18">
        <f t="shared" si="19"/>
        <v>0</v>
      </c>
      <c r="AT20" s="18">
        <f t="shared" si="20"/>
        <v>3</v>
      </c>
      <c r="AU20" s="18">
        <f t="shared" si="21"/>
        <v>0</v>
      </c>
      <c r="AV20" s="18">
        <f t="shared" si="2"/>
        <v>0</v>
      </c>
      <c r="AW20" s="18">
        <f t="shared" si="3"/>
        <v>0</v>
      </c>
      <c r="AX20" s="18">
        <f t="shared" si="4"/>
        <v>0</v>
      </c>
      <c r="AY20" s="18">
        <f t="shared" si="5"/>
        <v>0</v>
      </c>
      <c r="AZ20" s="18">
        <f t="shared" si="6"/>
        <v>0</v>
      </c>
      <c r="BA20" s="18">
        <f t="shared" si="7"/>
        <v>0</v>
      </c>
      <c r="BB20" s="18">
        <f t="shared" si="8"/>
        <v>0</v>
      </c>
      <c r="BC20" s="18"/>
      <c r="BD20" s="51"/>
      <c r="BE20" s="18">
        <f t="shared" si="9"/>
        <v>1</v>
      </c>
      <c r="BF20" s="18">
        <f t="shared" si="10"/>
        <v>1</v>
      </c>
      <c r="BG20" s="18">
        <f t="shared" si="11"/>
        <v>1</v>
      </c>
      <c r="BH20" s="18">
        <f t="shared" si="12"/>
        <v>1</v>
      </c>
      <c r="BI20" s="18">
        <f t="shared" si="13"/>
        <v>2</v>
      </c>
    </row>
    <row r="21" spans="1:61" ht="37.5" customHeight="1" x14ac:dyDescent="0.3">
      <c r="A21" s="49" t="s">
        <v>48</v>
      </c>
      <c r="B21" s="28" t="s">
        <v>87</v>
      </c>
      <c r="C21" s="127">
        <v>3</v>
      </c>
      <c r="D21" s="28" t="s">
        <v>88</v>
      </c>
      <c r="E21" s="24" t="s">
        <v>89</v>
      </c>
      <c r="F21" s="24" t="s">
        <v>87</v>
      </c>
      <c r="G21" s="24" t="s">
        <v>20</v>
      </c>
      <c r="H21" s="137">
        <v>3</v>
      </c>
      <c r="I21" s="24" t="s">
        <v>87</v>
      </c>
      <c r="J21" s="24" t="s">
        <v>22</v>
      </c>
      <c r="K21" s="128" t="s">
        <v>90</v>
      </c>
      <c r="L21" s="24" t="s">
        <v>89</v>
      </c>
      <c r="M21" s="24" t="s">
        <v>87</v>
      </c>
      <c r="N21" s="24" t="s">
        <v>21</v>
      </c>
      <c r="O21" s="24" t="s">
        <v>22</v>
      </c>
      <c r="P21" s="126">
        <v>1</v>
      </c>
      <c r="Q21" s="24" t="s">
        <v>87</v>
      </c>
      <c r="R21" s="28" t="s">
        <v>88</v>
      </c>
      <c r="S21" s="24" t="s">
        <v>89</v>
      </c>
      <c r="T21" s="24" t="s">
        <v>87</v>
      </c>
      <c r="U21" s="24" t="s">
        <v>23</v>
      </c>
      <c r="V21" s="133">
        <v>3</v>
      </c>
      <c r="W21" s="24" t="s">
        <v>87</v>
      </c>
      <c r="X21" s="126">
        <v>2</v>
      </c>
      <c r="Y21" s="24" t="s">
        <v>23</v>
      </c>
      <c r="Z21" s="126">
        <v>3</v>
      </c>
      <c r="AA21" s="24" t="s">
        <v>87</v>
      </c>
      <c r="AB21" s="126">
        <v>4</v>
      </c>
      <c r="AC21" s="28" t="s">
        <v>87</v>
      </c>
      <c r="AD21" s="126">
        <v>3</v>
      </c>
      <c r="AE21" s="24" t="s">
        <v>20</v>
      </c>
      <c r="AF21" s="126" t="s">
        <v>36</v>
      </c>
      <c r="AG21" s="110"/>
      <c r="AH21" s="29">
        <f t="shared" si="14"/>
        <v>3</v>
      </c>
      <c r="AI21" s="29">
        <f t="shared" si="15"/>
        <v>3</v>
      </c>
      <c r="AJ21" s="29">
        <f t="shared" si="15"/>
        <v>2</v>
      </c>
      <c r="AK21" s="29">
        <f t="shared" si="15"/>
        <v>7</v>
      </c>
      <c r="AL21" s="29">
        <f t="shared" si="15"/>
        <v>4</v>
      </c>
      <c r="AM21" s="29">
        <f t="shared" si="15"/>
        <v>0</v>
      </c>
      <c r="AN21" s="29">
        <f t="shared" si="16"/>
        <v>9</v>
      </c>
      <c r="AO21" s="18">
        <f t="shared" si="22"/>
        <v>1</v>
      </c>
      <c r="AP21" s="18">
        <f t="shared" si="23"/>
        <v>2</v>
      </c>
      <c r="AQ21" s="18">
        <f t="shared" si="17"/>
        <v>1</v>
      </c>
      <c r="AR21" s="18">
        <f t="shared" si="18"/>
        <v>1</v>
      </c>
      <c r="AS21" s="18">
        <f t="shared" si="19"/>
        <v>5</v>
      </c>
      <c r="AT21" s="18">
        <f t="shared" si="20"/>
        <v>2</v>
      </c>
      <c r="AU21" s="18">
        <f t="shared" si="21"/>
        <v>0</v>
      </c>
      <c r="AV21" s="18">
        <f t="shared" si="2"/>
        <v>0</v>
      </c>
      <c r="AW21" s="18">
        <f t="shared" si="3"/>
        <v>0</v>
      </c>
      <c r="AX21" s="18">
        <f t="shared" si="4"/>
        <v>0</v>
      </c>
      <c r="AY21" s="18">
        <f t="shared" si="5"/>
        <v>0</v>
      </c>
      <c r="AZ21" s="18">
        <f t="shared" si="6"/>
        <v>0</v>
      </c>
      <c r="BA21" s="18">
        <f t="shared" si="7"/>
        <v>0</v>
      </c>
      <c r="BB21" s="18">
        <f t="shared" si="8"/>
        <v>0</v>
      </c>
      <c r="BC21" s="18"/>
      <c r="BD21" s="51"/>
      <c r="BE21" s="18">
        <f t="shared" si="9"/>
        <v>2</v>
      </c>
      <c r="BF21" s="18">
        <f t="shared" si="10"/>
        <v>1</v>
      </c>
      <c r="BG21" s="18">
        <f t="shared" si="11"/>
        <v>2</v>
      </c>
      <c r="BH21" s="18">
        <f t="shared" si="12"/>
        <v>2</v>
      </c>
      <c r="BI21" s="18">
        <f t="shared" si="13"/>
        <v>0</v>
      </c>
    </row>
    <row r="22" spans="1:61" ht="37.5" customHeight="1" x14ac:dyDescent="0.3">
      <c r="A22" s="54" t="s">
        <v>49</v>
      </c>
      <c r="B22" s="24" t="s">
        <v>22</v>
      </c>
      <c r="C22" s="28" t="s">
        <v>87</v>
      </c>
      <c r="D22" s="133">
        <v>4</v>
      </c>
      <c r="E22" s="28" t="s">
        <v>88</v>
      </c>
      <c r="F22" s="24" t="s">
        <v>89</v>
      </c>
      <c r="G22" s="130" t="s">
        <v>87</v>
      </c>
      <c r="H22" s="138">
        <v>4</v>
      </c>
      <c r="I22" s="28" t="s">
        <v>24</v>
      </c>
      <c r="J22" s="24" t="s">
        <v>23</v>
      </c>
      <c r="K22" s="28" t="s">
        <v>87</v>
      </c>
      <c r="L22" s="129" t="s">
        <v>90</v>
      </c>
      <c r="M22" s="24" t="s">
        <v>89</v>
      </c>
      <c r="N22" s="130" t="s">
        <v>87</v>
      </c>
      <c r="O22" s="133">
        <v>4</v>
      </c>
      <c r="P22" s="28" t="s">
        <v>88</v>
      </c>
      <c r="Q22" s="24" t="s">
        <v>89</v>
      </c>
      <c r="R22" s="24" t="s">
        <v>87</v>
      </c>
      <c r="S22" s="137">
        <v>4</v>
      </c>
      <c r="T22" s="28" t="s">
        <v>88</v>
      </c>
      <c r="U22" s="130" t="s">
        <v>89</v>
      </c>
      <c r="V22" s="24" t="s">
        <v>87</v>
      </c>
      <c r="W22" s="24" t="s">
        <v>22</v>
      </c>
      <c r="X22" s="136">
        <v>4</v>
      </c>
      <c r="Y22" s="28" t="s">
        <v>87</v>
      </c>
      <c r="Z22" s="28" t="s">
        <v>88</v>
      </c>
      <c r="AA22" s="24" t="s">
        <v>89</v>
      </c>
      <c r="AB22" s="130" t="s">
        <v>87</v>
      </c>
      <c r="AC22" s="28" t="s">
        <v>24</v>
      </c>
      <c r="AD22" s="129" t="s">
        <v>90</v>
      </c>
      <c r="AE22" s="24" t="s">
        <v>89</v>
      </c>
      <c r="AF22" s="24" t="s">
        <v>87</v>
      </c>
      <c r="AG22" s="110"/>
      <c r="AH22" s="29">
        <f t="shared" si="14"/>
        <v>6</v>
      </c>
      <c r="AI22" s="29">
        <f t="shared" si="15"/>
        <v>0</v>
      </c>
      <c r="AJ22" s="29">
        <f t="shared" si="15"/>
        <v>0</v>
      </c>
      <c r="AK22" s="29">
        <f t="shared" si="15"/>
        <v>2</v>
      </c>
      <c r="AL22" s="29">
        <f t="shared" si="15"/>
        <v>6</v>
      </c>
      <c r="AM22" s="29">
        <f t="shared" si="15"/>
        <v>2</v>
      </c>
      <c r="AN22" s="29">
        <f t="shared" si="16"/>
        <v>9</v>
      </c>
      <c r="AO22" s="18">
        <f t="shared" si="22"/>
        <v>2</v>
      </c>
      <c r="AP22" s="18">
        <f t="shared" si="23"/>
        <v>4</v>
      </c>
      <c r="AQ22" s="18">
        <f t="shared" si="17"/>
        <v>0</v>
      </c>
      <c r="AR22" s="18">
        <f t="shared" si="18"/>
        <v>0</v>
      </c>
      <c r="AS22" s="18">
        <f t="shared" si="19"/>
        <v>0</v>
      </c>
      <c r="AT22" s="18">
        <f t="shared" si="20"/>
        <v>5</v>
      </c>
      <c r="AU22" s="18">
        <f t="shared" si="21"/>
        <v>0</v>
      </c>
      <c r="AV22" s="18">
        <f t="shared" si="2"/>
        <v>0</v>
      </c>
      <c r="AW22" s="18">
        <f t="shared" si="3"/>
        <v>0</v>
      </c>
      <c r="AX22" s="18">
        <f t="shared" si="4"/>
        <v>0</v>
      </c>
      <c r="AY22" s="18">
        <f t="shared" si="5"/>
        <v>0</v>
      </c>
      <c r="AZ22" s="18">
        <f t="shared" si="6"/>
        <v>0</v>
      </c>
      <c r="BA22" s="18">
        <f t="shared" si="7"/>
        <v>0</v>
      </c>
      <c r="BB22" s="18">
        <f t="shared" si="8"/>
        <v>0</v>
      </c>
      <c r="BC22" s="18"/>
      <c r="BD22" s="55"/>
      <c r="BE22" s="18">
        <f t="shared" si="9"/>
        <v>0</v>
      </c>
      <c r="BF22" s="18">
        <f t="shared" si="10"/>
        <v>0</v>
      </c>
      <c r="BG22" s="18">
        <f t="shared" si="11"/>
        <v>2</v>
      </c>
      <c r="BH22" s="18">
        <f t="shared" si="12"/>
        <v>1</v>
      </c>
      <c r="BI22" s="18">
        <f t="shared" si="13"/>
        <v>2</v>
      </c>
    </row>
    <row r="23" spans="1:61" ht="37.5" customHeight="1" x14ac:dyDescent="0.3">
      <c r="A23" s="49" t="s">
        <v>50</v>
      </c>
      <c r="B23" s="130" t="s">
        <v>89</v>
      </c>
      <c r="C23" s="130" t="s">
        <v>87</v>
      </c>
      <c r="D23" s="28" t="s">
        <v>24</v>
      </c>
      <c r="E23" s="28" t="s">
        <v>90</v>
      </c>
      <c r="F23" s="24" t="s">
        <v>89</v>
      </c>
      <c r="G23" s="130" t="s">
        <v>87</v>
      </c>
      <c r="H23" s="24" t="s">
        <v>20</v>
      </c>
      <c r="I23" s="126">
        <v>2</v>
      </c>
      <c r="J23" s="24" t="s">
        <v>87</v>
      </c>
      <c r="K23" s="129" t="s">
        <v>90</v>
      </c>
      <c r="L23" s="24" t="s">
        <v>89</v>
      </c>
      <c r="M23" s="24" t="s">
        <v>87</v>
      </c>
      <c r="N23" s="24" t="s">
        <v>20</v>
      </c>
      <c r="O23" s="28" t="s">
        <v>24</v>
      </c>
      <c r="P23" s="126">
        <v>3</v>
      </c>
      <c r="Q23" s="28" t="s">
        <v>87</v>
      </c>
      <c r="R23" s="28" t="s">
        <v>87</v>
      </c>
      <c r="S23" s="24" t="s">
        <v>20</v>
      </c>
      <c r="T23" s="126">
        <v>4</v>
      </c>
      <c r="U23" s="126">
        <v>4</v>
      </c>
      <c r="V23" s="24" t="s">
        <v>87</v>
      </c>
      <c r="W23" s="128" t="s">
        <v>88</v>
      </c>
      <c r="X23" s="24" t="s">
        <v>89</v>
      </c>
      <c r="Y23" s="24" t="s">
        <v>87</v>
      </c>
      <c r="Z23" s="24" t="s">
        <v>23</v>
      </c>
      <c r="AA23" s="126">
        <v>4</v>
      </c>
      <c r="AB23" s="28" t="s">
        <v>90</v>
      </c>
      <c r="AC23" s="24" t="s">
        <v>89</v>
      </c>
      <c r="AD23" s="24" t="s">
        <v>87</v>
      </c>
      <c r="AE23" s="133">
        <v>1</v>
      </c>
      <c r="AF23" s="28" t="s">
        <v>90</v>
      </c>
      <c r="AG23" s="24"/>
      <c r="AH23" s="29">
        <f t="shared" si="14"/>
        <v>5</v>
      </c>
      <c r="AI23" s="29">
        <f t="shared" si="15"/>
        <v>4</v>
      </c>
      <c r="AJ23" s="29">
        <f t="shared" si="15"/>
        <v>1</v>
      </c>
      <c r="AK23" s="29">
        <f t="shared" si="15"/>
        <v>1</v>
      </c>
      <c r="AL23" s="29">
        <f t="shared" si="15"/>
        <v>4</v>
      </c>
      <c r="AM23" s="29">
        <f t="shared" si="15"/>
        <v>2</v>
      </c>
      <c r="AN23" s="29">
        <f t="shared" si="16"/>
        <v>9</v>
      </c>
      <c r="AO23" s="18">
        <f t="shared" si="22"/>
        <v>4</v>
      </c>
      <c r="AP23" s="18">
        <f t="shared" si="23"/>
        <v>1</v>
      </c>
      <c r="AQ23" s="18">
        <f t="shared" si="17"/>
        <v>1</v>
      </c>
      <c r="AR23" s="18">
        <f t="shared" si="18"/>
        <v>1</v>
      </c>
      <c r="AS23" s="18">
        <f t="shared" si="19"/>
        <v>1</v>
      </c>
      <c r="AT23" s="18">
        <f t="shared" si="20"/>
        <v>3</v>
      </c>
      <c r="AU23" s="18">
        <f t="shared" si="21"/>
        <v>0</v>
      </c>
      <c r="AV23" s="18">
        <f t="shared" si="2"/>
        <v>0</v>
      </c>
      <c r="AW23" s="18">
        <f t="shared" si="3"/>
        <v>0</v>
      </c>
      <c r="AX23" s="18">
        <f t="shared" si="4"/>
        <v>0</v>
      </c>
      <c r="AY23" s="18">
        <f t="shared" si="5"/>
        <v>0</v>
      </c>
      <c r="AZ23" s="18">
        <f t="shared" si="6"/>
        <v>0</v>
      </c>
      <c r="BA23" s="18">
        <f t="shared" si="7"/>
        <v>0</v>
      </c>
      <c r="BB23" s="18">
        <f t="shared" si="8"/>
        <v>0</v>
      </c>
      <c r="BC23" s="18"/>
      <c r="BD23" s="55"/>
      <c r="BE23" s="18">
        <f t="shared" si="9"/>
        <v>3</v>
      </c>
      <c r="BF23" s="18">
        <f t="shared" si="10"/>
        <v>0</v>
      </c>
      <c r="BG23" s="18">
        <f t="shared" si="11"/>
        <v>0</v>
      </c>
      <c r="BH23" s="18">
        <f t="shared" si="12"/>
        <v>1</v>
      </c>
      <c r="BI23" s="18">
        <f t="shared" si="13"/>
        <v>2</v>
      </c>
    </row>
    <row r="24" spans="1:61" ht="37.5" customHeight="1" x14ac:dyDescent="0.3">
      <c r="A24" s="49" t="s">
        <v>51</v>
      </c>
      <c r="B24" s="133">
        <v>4</v>
      </c>
      <c r="C24" s="28" t="s">
        <v>87</v>
      </c>
      <c r="D24" s="24" t="s">
        <v>23</v>
      </c>
      <c r="E24" s="129" t="s">
        <v>88</v>
      </c>
      <c r="F24" s="24" t="s">
        <v>89</v>
      </c>
      <c r="G24" s="24" t="s">
        <v>87</v>
      </c>
      <c r="H24" s="24" t="s">
        <v>87</v>
      </c>
      <c r="I24" s="28" t="s">
        <v>88</v>
      </c>
      <c r="J24" s="24" t="s">
        <v>89</v>
      </c>
      <c r="K24" s="24" t="s">
        <v>87</v>
      </c>
      <c r="L24" s="28" t="s">
        <v>87</v>
      </c>
      <c r="M24" s="24" t="s">
        <v>20</v>
      </c>
      <c r="N24" s="133">
        <v>3</v>
      </c>
      <c r="O24" s="28" t="s">
        <v>88</v>
      </c>
      <c r="P24" s="24" t="s">
        <v>89</v>
      </c>
      <c r="Q24" s="24" t="s">
        <v>87</v>
      </c>
      <c r="R24" s="24" t="s">
        <v>20</v>
      </c>
      <c r="S24" s="128" t="s">
        <v>90</v>
      </c>
      <c r="T24" s="24" t="s">
        <v>89</v>
      </c>
      <c r="U24" s="24" t="s">
        <v>87</v>
      </c>
      <c r="V24" s="24" t="s">
        <v>22</v>
      </c>
      <c r="W24" s="133">
        <v>4</v>
      </c>
      <c r="X24" s="24" t="s">
        <v>23</v>
      </c>
      <c r="Y24" s="28" t="s">
        <v>24</v>
      </c>
      <c r="Z24" s="28" t="s">
        <v>87</v>
      </c>
      <c r="AA24" s="129" t="s">
        <v>90</v>
      </c>
      <c r="AB24" s="24" t="s">
        <v>89</v>
      </c>
      <c r="AC24" s="24" t="s">
        <v>87</v>
      </c>
      <c r="AD24" s="126">
        <v>1</v>
      </c>
      <c r="AE24" s="24" t="s">
        <v>20</v>
      </c>
      <c r="AF24" s="28" t="s">
        <v>87</v>
      </c>
      <c r="AG24" s="110"/>
      <c r="AH24" s="29">
        <f t="shared" si="14"/>
        <v>5</v>
      </c>
      <c r="AI24" s="29">
        <f t="shared" si="15"/>
        <v>4</v>
      </c>
      <c r="AJ24" s="29">
        <f t="shared" si="15"/>
        <v>0</v>
      </c>
      <c r="AK24" s="29">
        <f t="shared" si="15"/>
        <v>2</v>
      </c>
      <c r="AL24" s="29">
        <f t="shared" si="15"/>
        <v>4</v>
      </c>
      <c r="AM24" s="29">
        <f t="shared" si="15"/>
        <v>1</v>
      </c>
      <c r="AN24" s="29">
        <f t="shared" si="16"/>
        <v>10</v>
      </c>
      <c r="AO24" s="18">
        <f t="shared" si="22"/>
        <v>2</v>
      </c>
      <c r="AP24" s="18">
        <f t="shared" si="23"/>
        <v>3</v>
      </c>
      <c r="AQ24" s="18">
        <f t="shared" si="17"/>
        <v>1</v>
      </c>
      <c r="AR24" s="18">
        <f t="shared" si="18"/>
        <v>0</v>
      </c>
      <c r="AS24" s="18">
        <f t="shared" si="19"/>
        <v>1</v>
      </c>
      <c r="AT24" s="18">
        <f t="shared" si="20"/>
        <v>2</v>
      </c>
      <c r="AU24" s="18">
        <f t="shared" si="21"/>
        <v>0</v>
      </c>
      <c r="AV24" s="18">
        <f t="shared" si="2"/>
        <v>0</v>
      </c>
      <c r="AW24" s="18">
        <f t="shared" si="3"/>
        <v>0</v>
      </c>
      <c r="AX24" s="18">
        <f t="shared" si="4"/>
        <v>0</v>
      </c>
      <c r="AY24" s="18">
        <f t="shared" si="5"/>
        <v>0</v>
      </c>
      <c r="AZ24" s="18">
        <f t="shared" si="6"/>
        <v>0</v>
      </c>
      <c r="BA24" s="18">
        <f t="shared" si="7"/>
        <v>0</v>
      </c>
      <c r="BB24" s="18">
        <f t="shared" si="8"/>
        <v>0</v>
      </c>
      <c r="BC24" s="18"/>
      <c r="BD24" s="55"/>
      <c r="BE24" s="18">
        <f t="shared" si="9"/>
        <v>3</v>
      </c>
      <c r="BF24" s="18">
        <f t="shared" si="10"/>
        <v>0</v>
      </c>
      <c r="BG24" s="18">
        <f t="shared" si="11"/>
        <v>1</v>
      </c>
      <c r="BH24" s="18">
        <f t="shared" si="12"/>
        <v>2</v>
      </c>
      <c r="BI24" s="18">
        <f t="shared" si="13"/>
        <v>1</v>
      </c>
    </row>
    <row r="25" spans="1:61" ht="37.5" customHeight="1" x14ac:dyDescent="0.3">
      <c r="A25" s="49" t="s">
        <v>52</v>
      </c>
      <c r="B25" s="130" t="s">
        <v>93</v>
      </c>
      <c r="C25" s="130" t="s">
        <v>87</v>
      </c>
      <c r="D25" s="24" t="s">
        <v>20</v>
      </c>
      <c r="E25" s="133">
        <v>4</v>
      </c>
      <c r="F25" s="129" t="s">
        <v>90</v>
      </c>
      <c r="G25" s="24" t="s">
        <v>89</v>
      </c>
      <c r="H25" s="24" t="s">
        <v>87</v>
      </c>
      <c r="I25" s="133">
        <v>4</v>
      </c>
      <c r="J25" s="28" t="s">
        <v>87</v>
      </c>
      <c r="K25" s="24" t="s">
        <v>21</v>
      </c>
      <c r="L25" s="126">
        <v>1</v>
      </c>
      <c r="M25" s="28" t="s">
        <v>88</v>
      </c>
      <c r="N25" s="24" t="s">
        <v>89</v>
      </c>
      <c r="O25" s="24" t="s">
        <v>87</v>
      </c>
      <c r="P25" s="136">
        <v>4</v>
      </c>
      <c r="Q25" s="28" t="s">
        <v>88</v>
      </c>
      <c r="R25" s="24" t="s">
        <v>89</v>
      </c>
      <c r="S25" s="24" t="s">
        <v>87</v>
      </c>
      <c r="T25" s="139">
        <v>2</v>
      </c>
      <c r="U25" s="24" t="s">
        <v>20</v>
      </c>
      <c r="V25" s="129" t="s">
        <v>88</v>
      </c>
      <c r="W25" s="24" t="s">
        <v>89</v>
      </c>
      <c r="X25" s="24" t="s">
        <v>87</v>
      </c>
      <c r="Y25" s="24" t="s">
        <v>101</v>
      </c>
      <c r="Z25" s="128" t="s">
        <v>90</v>
      </c>
      <c r="AA25" s="24" t="s">
        <v>89</v>
      </c>
      <c r="AB25" s="24" t="s">
        <v>87</v>
      </c>
      <c r="AC25" s="28" t="s">
        <v>88</v>
      </c>
      <c r="AD25" s="24" t="s">
        <v>89</v>
      </c>
      <c r="AE25" s="130" t="s">
        <v>87</v>
      </c>
      <c r="AF25" s="130" t="s">
        <v>87</v>
      </c>
      <c r="AG25" s="112"/>
      <c r="AH25" s="29">
        <f t="shared" si="14"/>
        <v>6</v>
      </c>
      <c r="AI25" s="29">
        <f t="shared" si="15"/>
        <v>3</v>
      </c>
      <c r="AJ25" s="29">
        <f t="shared" si="15"/>
        <v>2</v>
      </c>
      <c r="AK25" s="29">
        <f t="shared" si="15"/>
        <v>0</v>
      </c>
      <c r="AL25" s="29">
        <f t="shared" si="15"/>
        <v>3</v>
      </c>
      <c r="AM25" s="29">
        <f t="shared" si="15"/>
        <v>0</v>
      </c>
      <c r="AN25" s="29">
        <f t="shared" si="16"/>
        <v>9</v>
      </c>
      <c r="AO25" s="18">
        <f t="shared" si="22"/>
        <v>2</v>
      </c>
      <c r="AP25" s="18">
        <f t="shared" si="23"/>
        <v>4</v>
      </c>
      <c r="AQ25" s="18">
        <f t="shared" si="17"/>
        <v>1</v>
      </c>
      <c r="AR25" s="18">
        <f t="shared" si="18"/>
        <v>1</v>
      </c>
      <c r="AS25" s="18">
        <f t="shared" si="19"/>
        <v>0</v>
      </c>
      <c r="AT25" s="18">
        <f t="shared" si="20"/>
        <v>3</v>
      </c>
      <c r="AU25" s="18">
        <f t="shared" si="21"/>
        <v>0</v>
      </c>
      <c r="AV25" s="18">
        <f t="shared" si="2"/>
        <v>0</v>
      </c>
      <c r="AW25" s="18">
        <f t="shared" si="3"/>
        <v>0</v>
      </c>
      <c r="AX25" s="18">
        <f t="shared" si="4"/>
        <v>0</v>
      </c>
      <c r="AY25" s="18">
        <f t="shared" si="5"/>
        <v>0</v>
      </c>
      <c r="AZ25" s="18">
        <f t="shared" si="6"/>
        <v>0</v>
      </c>
      <c r="BA25" s="18">
        <f t="shared" si="7"/>
        <v>0</v>
      </c>
      <c r="BB25" s="18">
        <f t="shared" si="8"/>
        <v>0</v>
      </c>
      <c r="BC25" s="18"/>
      <c r="BD25" s="55"/>
      <c r="BE25" s="18">
        <f t="shared" si="9"/>
        <v>2</v>
      </c>
      <c r="BF25" s="18">
        <f t="shared" si="10"/>
        <v>1</v>
      </c>
      <c r="BG25" s="18">
        <f t="shared" si="11"/>
        <v>0</v>
      </c>
      <c r="BH25" s="18">
        <f t="shared" si="12"/>
        <v>0</v>
      </c>
      <c r="BI25" s="18">
        <f t="shared" si="13"/>
        <v>0</v>
      </c>
    </row>
    <row r="26" spans="1:61" ht="37.5" customHeight="1" x14ac:dyDescent="0.3">
      <c r="A26" s="49" t="s">
        <v>53</v>
      </c>
      <c r="B26" s="24" t="s">
        <v>20</v>
      </c>
      <c r="C26" s="129" t="s">
        <v>90</v>
      </c>
      <c r="D26" s="24" t="s">
        <v>89</v>
      </c>
      <c r="E26" s="24" t="s">
        <v>87</v>
      </c>
      <c r="F26" s="24" t="s">
        <v>23</v>
      </c>
      <c r="G26" s="126">
        <v>4</v>
      </c>
      <c r="H26" s="129" t="s">
        <v>90</v>
      </c>
      <c r="I26" s="24" t="s">
        <v>89</v>
      </c>
      <c r="J26" s="130" t="s">
        <v>87</v>
      </c>
      <c r="K26" s="133">
        <v>1</v>
      </c>
      <c r="L26" s="24" t="s">
        <v>23</v>
      </c>
      <c r="M26" s="28" t="s">
        <v>87</v>
      </c>
      <c r="N26" s="129" t="s">
        <v>90</v>
      </c>
      <c r="O26" s="24" t="s">
        <v>89</v>
      </c>
      <c r="P26" s="24" t="s">
        <v>87</v>
      </c>
      <c r="Q26" s="126">
        <v>4</v>
      </c>
      <c r="R26" s="28" t="s">
        <v>24</v>
      </c>
      <c r="S26" s="24" t="s">
        <v>23</v>
      </c>
      <c r="T26" s="130" t="s">
        <v>87</v>
      </c>
      <c r="U26" s="129" t="s">
        <v>90</v>
      </c>
      <c r="V26" s="24" t="s">
        <v>89</v>
      </c>
      <c r="W26" s="24" t="s">
        <v>87</v>
      </c>
      <c r="X26" s="24" t="s">
        <v>20</v>
      </c>
      <c r="Y26" s="129" t="s">
        <v>90</v>
      </c>
      <c r="Z26" s="24" t="s">
        <v>89</v>
      </c>
      <c r="AA26" s="130" t="s">
        <v>87</v>
      </c>
      <c r="AB26" s="24" t="s">
        <v>87</v>
      </c>
      <c r="AC26" s="126">
        <v>1</v>
      </c>
      <c r="AD26" s="126">
        <v>4</v>
      </c>
      <c r="AE26" s="28" t="s">
        <v>24</v>
      </c>
      <c r="AF26" s="28" t="s">
        <v>87</v>
      </c>
      <c r="AG26" s="112"/>
      <c r="AH26" s="29">
        <f t="shared" si="14"/>
        <v>5</v>
      </c>
      <c r="AI26" s="29">
        <f t="shared" si="15"/>
        <v>4</v>
      </c>
      <c r="AJ26" s="29">
        <f t="shared" si="15"/>
        <v>0</v>
      </c>
      <c r="AK26" s="29">
        <f t="shared" si="15"/>
        <v>0</v>
      </c>
      <c r="AL26" s="29">
        <f t="shared" si="15"/>
        <v>6</v>
      </c>
      <c r="AM26" s="29">
        <f t="shared" si="15"/>
        <v>2</v>
      </c>
      <c r="AN26" s="29">
        <f t="shared" si="16"/>
        <v>9</v>
      </c>
      <c r="AO26" s="18">
        <f t="shared" si="22"/>
        <v>5</v>
      </c>
      <c r="AP26" s="18">
        <f t="shared" si="23"/>
        <v>0</v>
      </c>
      <c r="AQ26" s="18">
        <f t="shared" si="17"/>
        <v>2</v>
      </c>
      <c r="AR26" s="18">
        <f t="shared" si="18"/>
        <v>0</v>
      </c>
      <c r="AS26" s="18">
        <f t="shared" si="19"/>
        <v>0</v>
      </c>
      <c r="AT26" s="18">
        <f t="shared" si="20"/>
        <v>3</v>
      </c>
      <c r="AU26" s="18">
        <f t="shared" si="21"/>
        <v>0</v>
      </c>
      <c r="AV26" s="18">
        <f t="shared" si="2"/>
        <v>0</v>
      </c>
      <c r="AW26" s="18">
        <f t="shared" si="3"/>
        <v>0</v>
      </c>
      <c r="AX26" s="18">
        <f t="shared" si="4"/>
        <v>0</v>
      </c>
      <c r="AY26" s="18">
        <f t="shared" si="5"/>
        <v>0</v>
      </c>
      <c r="AZ26" s="18">
        <f t="shared" si="6"/>
        <v>0</v>
      </c>
      <c r="BA26" s="18">
        <f t="shared" si="7"/>
        <v>0</v>
      </c>
      <c r="BB26" s="18">
        <f t="shared" si="8"/>
        <v>0</v>
      </c>
      <c r="BC26" s="18"/>
      <c r="BD26" s="55"/>
      <c r="BE26" s="18">
        <f t="shared" si="9"/>
        <v>2</v>
      </c>
      <c r="BF26" s="18">
        <f t="shared" si="10"/>
        <v>0</v>
      </c>
      <c r="BG26" s="18">
        <f t="shared" si="11"/>
        <v>0</v>
      </c>
      <c r="BH26" s="18">
        <f t="shared" si="12"/>
        <v>3</v>
      </c>
      <c r="BI26" s="18">
        <f t="shared" si="13"/>
        <v>2</v>
      </c>
    </row>
    <row r="27" spans="1:61" ht="37.5" customHeight="1" x14ac:dyDescent="0.3">
      <c r="A27" s="49" t="s">
        <v>54</v>
      </c>
      <c r="B27" s="130" t="s">
        <v>87</v>
      </c>
      <c r="C27" s="130" t="s">
        <v>87</v>
      </c>
      <c r="D27" s="130" t="s">
        <v>87</v>
      </c>
      <c r="E27" s="130" t="s">
        <v>87</v>
      </c>
      <c r="F27" s="130" t="s">
        <v>87</v>
      </c>
      <c r="G27" s="130" t="s">
        <v>87</v>
      </c>
      <c r="H27" s="130" t="s">
        <v>87</v>
      </c>
      <c r="I27" s="130" t="s">
        <v>87</v>
      </c>
      <c r="J27" s="130" t="s">
        <v>87</v>
      </c>
      <c r="K27" s="130" t="s">
        <v>87</v>
      </c>
      <c r="L27" s="130" t="s">
        <v>87</v>
      </c>
      <c r="M27" s="130" t="s">
        <v>87</v>
      </c>
      <c r="N27" s="130" t="s">
        <v>87</v>
      </c>
      <c r="O27" s="130" t="s">
        <v>87</v>
      </c>
      <c r="P27" s="130" t="s">
        <v>87</v>
      </c>
      <c r="Q27" s="130" t="s">
        <v>87</v>
      </c>
      <c r="R27" s="130" t="s">
        <v>87</v>
      </c>
      <c r="S27" s="130" t="s">
        <v>87</v>
      </c>
      <c r="T27" s="130" t="s">
        <v>87</v>
      </c>
      <c r="U27" s="130" t="s">
        <v>87</v>
      </c>
      <c r="V27" s="130" t="s">
        <v>87</v>
      </c>
      <c r="W27" s="130" t="s">
        <v>87</v>
      </c>
      <c r="X27" s="130" t="s">
        <v>87</v>
      </c>
      <c r="Y27" s="130" t="s">
        <v>87</v>
      </c>
      <c r="Z27" s="130" t="s">
        <v>87</v>
      </c>
      <c r="AA27" s="130" t="s">
        <v>87</v>
      </c>
      <c r="AB27" s="130" t="s">
        <v>87</v>
      </c>
      <c r="AC27" s="130" t="s">
        <v>87</v>
      </c>
      <c r="AD27" s="130" t="s">
        <v>87</v>
      </c>
      <c r="AE27" s="130" t="s">
        <v>87</v>
      </c>
      <c r="AF27" s="130" t="s">
        <v>87</v>
      </c>
      <c r="AG27" s="112"/>
      <c r="AH27" s="29">
        <f t="shared" si="14"/>
        <v>0</v>
      </c>
      <c r="AI27" s="29">
        <f t="shared" si="15"/>
        <v>0</v>
      </c>
      <c r="AJ27" s="29">
        <f t="shared" si="15"/>
        <v>0</v>
      </c>
      <c r="AK27" s="29">
        <f t="shared" si="15"/>
        <v>0</v>
      </c>
      <c r="AL27" s="29">
        <f t="shared" si="15"/>
        <v>0</v>
      </c>
      <c r="AM27" s="29">
        <f t="shared" si="15"/>
        <v>0</v>
      </c>
      <c r="AN27" s="29">
        <f t="shared" si="16"/>
        <v>31</v>
      </c>
      <c r="AO27" s="18">
        <f t="shared" si="22"/>
        <v>0</v>
      </c>
      <c r="AP27" s="18">
        <f t="shared" si="23"/>
        <v>0</v>
      </c>
      <c r="AQ27" s="18">
        <f t="shared" si="17"/>
        <v>0</v>
      </c>
      <c r="AR27" s="18">
        <f t="shared" si="18"/>
        <v>0</v>
      </c>
      <c r="AS27" s="18">
        <f t="shared" si="19"/>
        <v>0</v>
      </c>
      <c r="AT27" s="18">
        <f t="shared" si="20"/>
        <v>0</v>
      </c>
      <c r="AU27" s="18">
        <f t="shared" si="21"/>
        <v>0</v>
      </c>
      <c r="AV27" s="18">
        <f t="shared" si="2"/>
        <v>0</v>
      </c>
      <c r="AW27" s="18">
        <f t="shared" si="3"/>
        <v>0</v>
      </c>
      <c r="AX27" s="18">
        <f t="shared" si="4"/>
        <v>0</v>
      </c>
      <c r="AY27" s="18">
        <f t="shared" si="5"/>
        <v>0</v>
      </c>
      <c r="AZ27" s="18">
        <f t="shared" si="6"/>
        <v>0</v>
      </c>
      <c r="BA27" s="18">
        <f t="shared" si="7"/>
        <v>0</v>
      </c>
      <c r="BB27" s="18">
        <f t="shared" si="8"/>
        <v>0</v>
      </c>
      <c r="BC27" s="18"/>
      <c r="BD27" s="55"/>
      <c r="BE27" s="18">
        <f t="shared" si="9"/>
        <v>0</v>
      </c>
      <c r="BF27" s="18">
        <f t="shared" si="10"/>
        <v>0</v>
      </c>
      <c r="BG27" s="18">
        <f t="shared" si="11"/>
        <v>0</v>
      </c>
      <c r="BH27" s="18">
        <f t="shared" si="12"/>
        <v>0</v>
      </c>
      <c r="BI27" s="18">
        <f t="shared" si="13"/>
        <v>0</v>
      </c>
    </row>
    <row r="28" spans="1:61" ht="37.5" customHeight="1" x14ac:dyDescent="0.3">
      <c r="A28" s="49" t="s">
        <v>55</v>
      </c>
      <c r="B28" s="28" t="s">
        <v>87</v>
      </c>
      <c r="C28" s="24" t="s">
        <v>23</v>
      </c>
      <c r="D28" s="24" t="s">
        <v>22</v>
      </c>
      <c r="E28" s="24" t="s">
        <v>87</v>
      </c>
      <c r="F28" s="126">
        <v>3</v>
      </c>
      <c r="G28" s="126">
        <v>2</v>
      </c>
      <c r="H28" s="24" t="s">
        <v>21</v>
      </c>
      <c r="I28" s="24" t="s">
        <v>87</v>
      </c>
      <c r="J28" s="126">
        <v>3</v>
      </c>
      <c r="K28" s="24" t="s">
        <v>22</v>
      </c>
      <c r="L28" s="24" t="s">
        <v>22</v>
      </c>
      <c r="M28" s="130" t="s">
        <v>87</v>
      </c>
      <c r="N28" s="126">
        <v>2</v>
      </c>
      <c r="O28" s="24" t="s">
        <v>21</v>
      </c>
      <c r="P28" s="24" t="s">
        <v>87</v>
      </c>
      <c r="Q28" s="24" t="s">
        <v>22</v>
      </c>
      <c r="R28" s="126">
        <v>3</v>
      </c>
      <c r="S28" s="24" t="s">
        <v>87</v>
      </c>
      <c r="T28" s="24" t="s">
        <v>20</v>
      </c>
      <c r="U28" s="24" t="s">
        <v>22</v>
      </c>
      <c r="V28" s="24" t="s">
        <v>87</v>
      </c>
      <c r="W28" s="127">
        <v>3</v>
      </c>
      <c r="X28" s="133">
        <v>3</v>
      </c>
      <c r="Y28" s="126">
        <v>2</v>
      </c>
      <c r="Z28" s="24" t="s">
        <v>87</v>
      </c>
      <c r="AA28" s="24" t="s">
        <v>21</v>
      </c>
      <c r="AB28" s="133">
        <v>2</v>
      </c>
      <c r="AC28" s="24" t="s">
        <v>22</v>
      </c>
      <c r="AD28" s="24" t="s">
        <v>87</v>
      </c>
      <c r="AE28" s="24" t="s">
        <v>22</v>
      </c>
      <c r="AF28" s="126" t="s">
        <v>38</v>
      </c>
      <c r="AG28" s="112"/>
      <c r="AH28" s="29">
        <f t="shared" si="14"/>
        <v>0</v>
      </c>
      <c r="AI28" s="29">
        <f t="shared" si="15"/>
        <v>1</v>
      </c>
      <c r="AJ28" s="29">
        <f t="shared" si="15"/>
        <v>8</v>
      </c>
      <c r="AK28" s="29">
        <f t="shared" si="15"/>
        <v>12</v>
      </c>
      <c r="AL28" s="29">
        <f t="shared" si="15"/>
        <v>1</v>
      </c>
      <c r="AM28" s="29">
        <f t="shared" si="15"/>
        <v>0</v>
      </c>
      <c r="AN28" s="29">
        <f t="shared" si="16"/>
        <v>9</v>
      </c>
      <c r="AO28" s="18">
        <f t="shared" si="22"/>
        <v>0</v>
      </c>
      <c r="AP28" s="18">
        <f t="shared" si="23"/>
        <v>0</v>
      </c>
      <c r="AQ28" s="18">
        <f t="shared" si="17"/>
        <v>0</v>
      </c>
      <c r="AR28" s="18">
        <f t="shared" si="18"/>
        <v>5</v>
      </c>
      <c r="AS28" s="18">
        <f t="shared" si="19"/>
        <v>5</v>
      </c>
      <c r="AT28" s="18">
        <f t="shared" si="20"/>
        <v>0</v>
      </c>
      <c r="AU28" s="18">
        <f t="shared" si="21"/>
        <v>0</v>
      </c>
      <c r="AV28" s="18">
        <f t="shared" si="2"/>
        <v>0</v>
      </c>
      <c r="AW28" s="18">
        <f t="shared" si="3"/>
        <v>0</v>
      </c>
      <c r="AX28" s="18">
        <f t="shared" si="4"/>
        <v>0</v>
      </c>
      <c r="AY28" s="18">
        <f t="shared" si="5"/>
        <v>0</v>
      </c>
      <c r="AZ28" s="18">
        <f t="shared" si="6"/>
        <v>0</v>
      </c>
      <c r="BA28" s="18">
        <f t="shared" si="7"/>
        <v>0</v>
      </c>
      <c r="BB28" s="18">
        <f t="shared" si="8"/>
        <v>0</v>
      </c>
      <c r="BC28" s="18"/>
      <c r="BD28" s="55"/>
      <c r="BE28" s="18">
        <f t="shared" si="9"/>
        <v>1</v>
      </c>
      <c r="BF28" s="18">
        <f t="shared" si="10"/>
        <v>3</v>
      </c>
      <c r="BG28" s="18">
        <f t="shared" si="11"/>
        <v>7</v>
      </c>
      <c r="BH28" s="18">
        <f t="shared" si="12"/>
        <v>1</v>
      </c>
      <c r="BI28" s="18">
        <f t="shared" si="13"/>
        <v>0</v>
      </c>
    </row>
    <row r="29" spans="1:61" ht="37.5" customHeight="1" x14ac:dyDescent="0.3">
      <c r="A29" s="49" t="s">
        <v>56</v>
      </c>
      <c r="B29" s="24" t="s">
        <v>87</v>
      </c>
      <c r="C29" s="126">
        <v>3</v>
      </c>
      <c r="D29" s="126">
        <v>3</v>
      </c>
      <c r="E29" s="126">
        <v>3</v>
      </c>
      <c r="F29" s="24" t="s">
        <v>87</v>
      </c>
      <c r="G29" s="126">
        <v>3</v>
      </c>
      <c r="H29" s="126">
        <v>3</v>
      </c>
      <c r="I29" s="126">
        <v>3</v>
      </c>
      <c r="J29" s="24" t="s">
        <v>87</v>
      </c>
      <c r="K29" s="126">
        <v>3</v>
      </c>
      <c r="L29" s="126">
        <v>3</v>
      </c>
      <c r="M29" s="126">
        <v>3</v>
      </c>
      <c r="N29" s="140" t="s">
        <v>87</v>
      </c>
      <c r="O29" s="126">
        <v>4</v>
      </c>
      <c r="P29" s="126">
        <v>4</v>
      </c>
      <c r="Q29" s="24" t="s">
        <v>87</v>
      </c>
      <c r="R29" s="126">
        <v>4</v>
      </c>
      <c r="S29" s="126">
        <v>4</v>
      </c>
      <c r="T29" s="126">
        <v>3</v>
      </c>
      <c r="U29" s="126">
        <v>2</v>
      </c>
      <c r="V29" s="24" t="s">
        <v>87</v>
      </c>
      <c r="W29" s="126">
        <v>2</v>
      </c>
      <c r="X29" s="126">
        <v>4</v>
      </c>
      <c r="Y29" s="24" t="s">
        <v>87</v>
      </c>
      <c r="Z29" s="126">
        <v>4</v>
      </c>
      <c r="AA29" s="126">
        <v>2</v>
      </c>
      <c r="AB29" s="24" t="s">
        <v>87</v>
      </c>
      <c r="AC29" s="126">
        <v>4</v>
      </c>
      <c r="AD29" s="126">
        <v>2</v>
      </c>
      <c r="AE29" s="126">
        <v>4</v>
      </c>
      <c r="AF29" s="28" t="s">
        <v>87</v>
      </c>
      <c r="AG29" s="112"/>
      <c r="AH29" s="29">
        <f t="shared" si="14"/>
        <v>0</v>
      </c>
      <c r="AI29" s="29">
        <f t="shared" si="15"/>
        <v>0</v>
      </c>
      <c r="AJ29" s="29">
        <f t="shared" si="15"/>
        <v>4</v>
      </c>
      <c r="AK29" s="29">
        <f t="shared" si="15"/>
        <v>10</v>
      </c>
      <c r="AL29" s="29">
        <f t="shared" si="15"/>
        <v>8</v>
      </c>
      <c r="AM29" s="29">
        <f t="shared" si="15"/>
        <v>0</v>
      </c>
      <c r="AN29" s="29">
        <f t="shared" si="16"/>
        <v>9</v>
      </c>
      <c r="AO29" s="18">
        <f t="shared" si="22"/>
        <v>0</v>
      </c>
      <c r="AP29" s="18">
        <f t="shared" si="23"/>
        <v>0</v>
      </c>
      <c r="AQ29" s="18">
        <f t="shared" si="17"/>
        <v>0</v>
      </c>
      <c r="AR29" s="18">
        <f t="shared" si="18"/>
        <v>4</v>
      </c>
      <c r="AS29" s="18">
        <f t="shared" si="19"/>
        <v>10</v>
      </c>
      <c r="AT29" s="18">
        <f t="shared" si="20"/>
        <v>8</v>
      </c>
      <c r="AU29" s="18">
        <f t="shared" si="21"/>
        <v>0</v>
      </c>
      <c r="AV29" s="18">
        <f t="shared" si="2"/>
        <v>0</v>
      </c>
      <c r="AW29" s="18">
        <f t="shared" si="3"/>
        <v>0</v>
      </c>
      <c r="AX29" s="18">
        <f t="shared" si="4"/>
        <v>0</v>
      </c>
      <c r="AY29" s="18">
        <f t="shared" si="5"/>
        <v>0</v>
      </c>
      <c r="AZ29" s="18">
        <f t="shared" si="6"/>
        <v>0</v>
      </c>
      <c r="BA29" s="18">
        <f t="shared" si="7"/>
        <v>0</v>
      </c>
      <c r="BB29" s="18">
        <f t="shared" si="8"/>
        <v>0</v>
      </c>
      <c r="BC29" s="18"/>
      <c r="BD29" s="55"/>
      <c r="BE29" s="18">
        <f t="shared" si="9"/>
        <v>0</v>
      </c>
      <c r="BF29" s="18">
        <f t="shared" si="10"/>
        <v>0</v>
      </c>
      <c r="BG29" s="18">
        <f t="shared" si="11"/>
        <v>0</v>
      </c>
      <c r="BH29" s="18">
        <f t="shared" si="12"/>
        <v>0</v>
      </c>
      <c r="BI29" s="18">
        <f t="shared" si="13"/>
        <v>0</v>
      </c>
    </row>
    <row r="30" spans="1:61" ht="37.5" customHeight="1" x14ac:dyDescent="0.3">
      <c r="A30" s="49" t="s">
        <v>57</v>
      </c>
      <c r="B30" s="126">
        <v>2</v>
      </c>
      <c r="C30" s="131" t="s">
        <v>87</v>
      </c>
      <c r="D30" s="131" t="s">
        <v>87</v>
      </c>
      <c r="E30" s="130" t="s">
        <v>87</v>
      </c>
      <c r="F30" s="126">
        <v>4</v>
      </c>
      <c r="G30" s="130" t="s">
        <v>23</v>
      </c>
      <c r="H30" s="130">
        <v>4</v>
      </c>
      <c r="I30" s="130" t="s">
        <v>87</v>
      </c>
      <c r="J30" s="130">
        <v>4</v>
      </c>
      <c r="K30" s="126" t="s">
        <v>38</v>
      </c>
      <c r="L30" s="130" t="s">
        <v>20</v>
      </c>
      <c r="M30" s="130" t="s">
        <v>87</v>
      </c>
      <c r="N30" s="130">
        <v>4</v>
      </c>
      <c r="O30" s="127">
        <v>4</v>
      </c>
      <c r="P30" s="24" t="s">
        <v>22</v>
      </c>
      <c r="Q30" s="130">
        <v>4</v>
      </c>
      <c r="R30" s="130" t="s">
        <v>87</v>
      </c>
      <c r="S30" s="126">
        <v>3</v>
      </c>
      <c r="T30" s="135" t="s">
        <v>22</v>
      </c>
      <c r="U30" s="130" t="s">
        <v>87</v>
      </c>
      <c r="V30" s="126" t="s">
        <v>38</v>
      </c>
      <c r="W30" s="24" t="s">
        <v>20</v>
      </c>
      <c r="X30" s="24" t="s">
        <v>87</v>
      </c>
      <c r="Y30" s="24" t="s">
        <v>20</v>
      </c>
      <c r="Z30" s="24" t="s">
        <v>23</v>
      </c>
      <c r="AA30" s="141">
        <v>4</v>
      </c>
      <c r="AB30" s="24" t="s">
        <v>87</v>
      </c>
      <c r="AC30" s="24" t="s">
        <v>87</v>
      </c>
      <c r="AD30" s="24" t="s">
        <v>20</v>
      </c>
      <c r="AE30" s="24" t="s">
        <v>23</v>
      </c>
      <c r="AF30" s="24" t="s">
        <v>87</v>
      </c>
      <c r="AG30" s="24"/>
      <c r="AH30" s="29">
        <f>AO30+AP30</f>
        <v>0</v>
      </c>
      <c r="AI30" s="29">
        <f>AQ30+BE30</f>
        <v>4</v>
      </c>
      <c r="AJ30" s="29">
        <f>AR30+BF30</f>
        <v>3</v>
      </c>
      <c r="AK30" s="29">
        <f t="shared" si="15"/>
        <v>3</v>
      </c>
      <c r="AL30" s="29">
        <f t="shared" si="15"/>
        <v>10</v>
      </c>
      <c r="AM30" s="29">
        <f t="shared" si="15"/>
        <v>0</v>
      </c>
      <c r="AN30" s="50">
        <f t="shared" si="16"/>
        <v>11</v>
      </c>
      <c r="AO30" s="18">
        <f t="shared" si="22"/>
        <v>0</v>
      </c>
      <c r="AP30" s="18">
        <f t="shared" si="23"/>
        <v>0</v>
      </c>
      <c r="AQ30" s="18">
        <f>COUNTIF($B30:$AF30,"１")</f>
        <v>0</v>
      </c>
      <c r="AR30" s="18">
        <f>COUNTIF($B30:$AF30,"2")</f>
        <v>3</v>
      </c>
      <c r="AS30" s="18">
        <f>COUNTIF($B30:$AF30,"３")</f>
        <v>1</v>
      </c>
      <c r="AT30" s="18">
        <f>COUNTIF($B30:$AF30,"4")</f>
        <v>7</v>
      </c>
      <c r="AU30" s="18">
        <f>COUNTIF($B30:$AF30,"5")</f>
        <v>0</v>
      </c>
      <c r="AV30" s="18">
        <f t="shared" si="2"/>
        <v>0</v>
      </c>
      <c r="AW30" s="18">
        <f t="shared" si="3"/>
        <v>0</v>
      </c>
      <c r="AX30" s="18">
        <f t="shared" si="4"/>
        <v>0</v>
      </c>
      <c r="AY30" s="18">
        <f t="shared" si="5"/>
        <v>0</v>
      </c>
      <c r="AZ30" s="18">
        <f t="shared" si="6"/>
        <v>0</v>
      </c>
      <c r="BA30" s="18">
        <f t="shared" si="7"/>
        <v>0</v>
      </c>
      <c r="BB30" s="18">
        <f>COUNTIF($B30:$AF30,$BB$3)</f>
        <v>0</v>
      </c>
      <c r="BC30" s="18"/>
      <c r="BD30" s="18"/>
      <c r="BE30" s="18">
        <f t="shared" si="9"/>
        <v>4</v>
      </c>
      <c r="BF30" s="18">
        <f t="shared" si="10"/>
        <v>0</v>
      </c>
      <c r="BG30" s="18">
        <f t="shared" si="11"/>
        <v>2</v>
      </c>
      <c r="BH30" s="18">
        <f t="shared" si="12"/>
        <v>3</v>
      </c>
      <c r="BI30" s="18">
        <f t="shared" si="13"/>
        <v>0</v>
      </c>
    </row>
    <row r="31" spans="1:61" ht="37.5" customHeight="1" x14ac:dyDescent="0.3">
      <c r="A31" s="49" t="s">
        <v>58</v>
      </c>
      <c r="B31" s="130" t="s">
        <v>87</v>
      </c>
      <c r="C31" s="24" t="s">
        <v>20</v>
      </c>
      <c r="D31" s="126">
        <v>2</v>
      </c>
      <c r="E31" s="24" t="s">
        <v>20</v>
      </c>
      <c r="F31" s="130" t="s">
        <v>87</v>
      </c>
      <c r="G31" s="130">
        <v>1</v>
      </c>
      <c r="H31" s="130" t="s">
        <v>34</v>
      </c>
      <c r="I31" s="130" t="s">
        <v>22</v>
      </c>
      <c r="J31" s="130" t="s">
        <v>20</v>
      </c>
      <c r="K31" s="130" t="s">
        <v>87</v>
      </c>
      <c r="L31" s="130" t="s">
        <v>87</v>
      </c>
      <c r="M31" s="131" t="s">
        <v>87</v>
      </c>
      <c r="N31" s="130">
        <v>1</v>
      </c>
      <c r="O31" s="130" t="s">
        <v>20</v>
      </c>
      <c r="P31" s="130" t="s">
        <v>87</v>
      </c>
      <c r="Q31" s="130" t="s">
        <v>20</v>
      </c>
      <c r="R31" s="126">
        <v>2</v>
      </c>
      <c r="S31" s="130" t="s">
        <v>87</v>
      </c>
      <c r="T31" s="130" t="s">
        <v>87</v>
      </c>
      <c r="U31" s="131" t="s">
        <v>87</v>
      </c>
      <c r="V31" s="142" t="s">
        <v>94</v>
      </c>
      <c r="W31" s="143" t="s">
        <v>94</v>
      </c>
      <c r="X31" s="142" t="s">
        <v>94</v>
      </c>
      <c r="Y31" s="142" t="s">
        <v>94</v>
      </c>
      <c r="Z31" s="130" t="s">
        <v>87</v>
      </c>
      <c r="AA31" s="130" t="s">
        <v>87</v>
      </c>
      <c r="AB31" s="143" t="s">
        <v>94</v>
      </c>
      <c r="AC31" s="142" t="s">
        <v>94</v>
      </c>
      <c r="AD31" s="131" t="s">
        <v>87</v>
      </c>
      <c r="AE31" s="142" t="s">
        <v>94</v>
      </c>
      <c r="AF31" s="142" t="s">
        <v>94</v>
      </c>
      <c r="AG31" s="24"/>
      <c r="AH31" s="29">
        <f t="shared" ref="AH31:AH37" si="24">AO31+AP31</f>
        <v>0</v>
      </c>
      <c r="AI31" s="29">
        <f t="shared" si="15"/>
        <v>8</v>
      </c>
      <c r="AJ31" s="29">
        <f t="shared" si="15"/>
        <v>2</v>
      </c>
      <c r="AK31" s="29">
        <f t="shared" si="15"/>
        <v>1</v>
      </c>
      <c r="AL31" s="29">
        <f t="shared" si="15"/>
        <v>0</v>
      </c>
      <c r="AM31" s="29">
        <f t="shared" si="15"/>
        <v>0</v>
      </c>
      <c r="AN31" s="29">
        <f t="shared" si="16"/>
        <v>12</v>
      </c>
      <c r="AO31" s="18">
        <f t="shared" si="22"/>
        <v>0</v>
      </c>
      <c r="AP31" s="18">
        <f t="shared" si="23"/>
        <v>0</v>
      </c>
      <c r="AQ31" s="18">
        <f t="shared" ref="AQ31:AQ37" si="25">COUNTIF($B31:$AF31,"1")</f>
        <v>3</v>
      </c>
      <c r="AR31" s="18">
        <f t="shared" ref="AR31:AR37" si="26">COUNTIF($B31:$AF31,"2")</f>
        <v>2</v>
      </c>
      <c r="AS31" s="18">
        <f t="shared" ref="AS31:AS37" si="27">COUNTIF($B31:$AF31,"3")</f>
        <v>0</v>
      </c>
      <c r="AT31" s="18">
        <f t="shared" ref="AT31:AT37" si="28">COUNTIF($B31:$AF31,"4")</f>
        <v>0</v>
      </c>
      <c r="AU31" s="18">
        <f t="shared" ref="AU31:AU37" si="29">COUNTIF($B31:$AF31,"5")</f>
        <v>0</v>
      </c>
      <c r="AV31" s="18">
        <f t="shared" si="2"/>
        <v>0</v>
      </c>
      <c r="AW31" s="18">
        <f t="shared" si="3"/>
        <v>0</v>
      </c>
      <c r="AX31" s="18">
        <f t="shared" si="4"/>
        <v>0</v>
      </c>
      <c r="AY31" s="18">
        <f t="shared" si="5"/>
        <v>0</v>
      </c>
      <c r="AZ31" s="18">
        <f t="shared" si="6"/>
        <v>0</v>
      </c>
      <c r="BA31" s="18">
        <f t="shared" si="7"/>
        <v>0</v>
      </c>
      <c r="BB31" s="18">
        <f t="shared" ref="BB31:BB37" si="30">COUNTIF($B31:$AF31,$BB$3)</f>
        <v>0</v>
      </c>
      <c r="BC31" s="18"/>
      <c r="BD31" s="55"/>
      <c r="BE31" s="18">
        <f t="shared" si="9"/>
        <v>5</v>
      </c>
      <c r="BF31" s="18">
        <f t="shared" si="10"/>
        <v>0</v>
      </c>
      <c r="BG31" s="18">
        <f t="shared" si="11"/>
        <v>1</v>
      </c>
      <c r="BH31" s="18">
        <f t="shared" si="12"/>
        <v>0</v>
      </c>
      <c r="BI31" s="18">
        <f t="shared" si="13"/>
        <v>0</v>
      </c>
    </row>
    <row r="32" spans="1:61" ht="37.5" customHeight="1" x14ac:dyDescent="0.3">
      <c r="A32" s="49" t="s">
        <v>59</v>
      </c>
      <c r="B32" s="130" t="s">
        <v>87</v>
      </c>
      <c r="C32" s="126">
        <v>2</v>
      </c>
      <c r="D32" s="127" t="s">
        <v>32</v>
      </c>
      <c r="E32" s="130" t="s">
        <v>87</v>
      </c>
      <c r="F32" s="126">
        <v>2</v>
      </c>
      <c r="G32" s="130" t="s">
        <v>87</v>
      </c>
      <c r="H32" s="24" t="s">
        <v>22</v>
      </c>
      <c r="I32" s="130" t="s">
        <v>87</v>
      </c>
      <c r="J32" s="126">
        <v>2</v>
      </c>
      <c r="K32" s="137" t="s">
        <v>32</v>
      </c>
      <c r="L32" s="130" t="s">
        <v>87</v>
      </c>
      <c r="M32" s="130" t="s">
        <v>87</v>
      </c>
      <c r="N32" s="130" t="s">
        <v>87</v>
      </c>
      <c r="O32" s="126">
        <v>2</v>
      </c>
      <c r="P32" s="130" t="s">
        <v>87</v>
      </c>
      <c r="Q32" s="126">
        <v>3</v>
      </c>
      <c r="R32" s="24" t="s">
        <v>22</v>
      </c>
      <c r="S32" s="126">
        <v>2</v>
      </c>
      <c r="T32" s="130" t="s">
        <v>87</v>
      </c>
      <c r="U32" s="130" t="s">
        <v>87</v>
      </c>
      <c r="V32" s="130" t="s">
        <v>87</v>
      </c>
      <c r="W32" s="130" t="s">
        <v>87</v>
      </c>
      <c r="X32" s="24" t="s">
        <v>22</v>
      </c>
      <c r="Y32" s="126">
        <v>3</v>
      </c>
      <c r="Z32" s="130" t="s">
        <v>87</v>
      </c>
      <c r="AA32" s="24" t="s">
        <v>22</v>
      </c>
      <c r="AB32" s="24" t="s">
        <v>22</v>
      </c>
      <c r="AC32" s="126">
        <v>2</v>
      </c>
      <c r="AD32" s="130" t="s">
        <v>87</v>
      </c>
      <c r="AE32" s="126">
        <v>2</v>
      </c>
      <c r="AF32" s="126">
        <v>3</v>
      </c>
      <c r="AG32" s="112"/>
      <c r="AH32" s="29">
        <f t="shared" si="24"/>
        <v>0</v>
      </c>
      <c r="AI32" s="29">
        <f t="shared" si="15"/>
        <v>0</v>
      </c>
      <c r="AJ32" s="29">
        <f t="shared" si="15"/>
        <v>7</v>
      </c>
      <c r="AK32" s="29">
        <f t="shared" si="15"/>
        <v>10</v>
      </c>
      <c r="AL32" s="29">
        <f t="shared" si="15"/>
        <v>0</v>
      </c>
      <c r="AM32" s="29">
        <f t="shared" si="15"/>
        <v>0</v>
      </c>
      <c r="AN32" s="29">
        <f t="shared" si="16"/>
        <v>14</v>
      </c>
      <c r="AO32" s="18">
        <f t="shared" si="22"/>
        <v>0</v>
      </c>
      <c r="AP32" s="18">
        <f t="shared" si="23"/>
        <v>0</v>
      </c>
      <c r="AQ32" s="18">
        <f t="shared" si="25"/>
        <v>0</v>
      </c>
      <c r="AR32" s="18">
        <f t="shared" si="26"/>
        <v>7</v>
      </c>
      <c r="AS32" s="18">
        <f t="shared" si="27"/>
        <v>5</v>
      </c>
      <c r="AT32" s="18">
        <f t="shared" si="28"/>
        <v>0</v>
      </c>
      <c r="AU32" s="18">
        <f t="shared" si="29"/>
        <v>0</v>
      </c>
      <c r="AV32" s="18">
        <f t="shared" si="2"/>
        <v>0</v>
      </c>
      <c r="AW32" s="18">
        <f t="shared" si="3"/>
        <v>0</v>
      </c>
      <c r="AX32" s="18">
        <f t="shared" si="4"/>
        <v>0</v>
      </c>
      <c r="AY32" s="18">
        <f t="shared" si="5"/>
        <v>0</v>
      </c>
      <c r="AZ32" s="18">
        <f t="shared" si="6"/>
        <v>0</v>
      </c>
      <c r="BA32" s="18">
        <f t="shared" si="7"/>
        <v>0</v>
      </c>
      <c r="BB32" s="18">
        <f t="shared" si="30"/>
        <v>0</v>
      </c>
      <c r="BC32" s="18"/>
      <c r="BD32" s="55"/>
      <c r="BE32" s="18">
        <f t="shared" si="9"/>
        <v>0</v>
      </c>
      <c r="BF32" s="18">
        <f t="shared" si="10"/>
        <v>0</v>
      </c>
      <c r="BG32" s="18">
        <f t="shared" si="11"/>
        <v>5</v>
      </c>
      <c r="BH32" s="18">
        <f t="shared" si="12"/>
        <v>0</v>
      </c>
      <c r="BI32" s="18">
        <f t="shared" si="13"/>
        <v>0</v>
      </c>
    </row>
    <row r="33" spans="1:95" ht="37.5" customHeight="1" x14ac:dyDescent="0.3">
      <c r="A33" s="49" t="s">
        <v>60</v>
      </c>
      <c r="B33" s="24" t="s">
        <v>20</v>
      </c>
      <c r="C33" s="144" t="s">
        <v>87</v>
      </c>
      <c r="D33" s="24" t="s">
        <v>22</v>
      </c>
      <c r="E33" s="126">
        <v>4</v>
      </c>
      <c r="F33" s="130" t="s">
        <v>87</v>
      </c>
      <c r="G33" s="24" t="s">
        <v>20</v>
      </c>
      <c r="H33" s="24" t="s">
        <v>87</v>
      </c>
      <c r="I33" s="126">
        <v>4</v>
      </c>
      <c r="J33" s="144" t="s">
        <v>87</v>
      </c>
      <c r="K33" s="24" t="s">
        <v>87</v>
      </c>
      <c r="L33" s="24" t="s">
        <v>20</v>
      </c>
      <c r="M33" s="131" t="s">
        <v>87</v>
      </c>
      <c r="N33" s="141">
        <v>4</v>
      </c>
      <c r="O33" s="24" t="s">
        <v>23</v>
      </c>
      <c r="P33" s="24" t="s">
        <v>23</v>
      </c>
      <c r="Q33" s="144" t="s">
        <v>87</v>
      </c>
      <c r="R33" s="24" t="s">
        <v>20</v>
      </c>
      <c r="S33" s="133">
        <v>4</v>
      </c>
      <c r="T33" s="131" t="s">
        <v>87</v>
      </c>
      <c r="U33" s="131" t="s">
        <v>87</v>
      </c>
      <c r="V33" s="126">
        <v>4</v>
      </c>
      <c r="W33" s="24" t="s">
        <v>21</v>
      </c>
      <c r="X33" s="24" t="s">
        <v>87</v>
      </c>
      <c r="Y33" s="24" t="s">
        <v>20</v>
      </c>
      <c r="Z33" s="126">
        <v>4</v>
      </c>
      <c r="AA33" s="24" t="s">
        <v>87</v>
      </c>
      <c r="AB33" s="126">
        <v>4</v>
      </c>
      <c r="AC33" s="126">
        <v>4</v>
      </c>
      <c r="AD33" s="24" t="s">
        <v>20</v>
      </c>
      <c r="AE33" s="24" t="s">
        <v>87</v>
      </c>
      <c r="AF33" s="141" t="s">
        <v>36</v>
      </c>
      <c r="AG33" s="113"/>
      <c r="AH33" s="29">
        <f t="shared" si="24"/>
        <v>0</v>
      </c>
      <c r="AI33" s="29">
        <f t="shared" si="15"/>
        <v>6</v>
      </c>
      <c r="AJ33" s="29">
        <f t="shared" si="15"/>
        <v>1</v>
      </c>
      <c r="AK33" s="29">
        <f t="shared" si="15"/>
        <v>1</v>
      </c>
      <c r="AL33" s="29">
        <f t="shared" si="15"/>
        <v>11</v>
      </c>
      <c r="AM33" s="29">
        <f t="shared" si="15"/>
        <v>0</v>
      </c>
      <c r="AN33" s="29">
        <f t="shared" si="16"/>
        <v>12</v>
      </c>
      <c r="AO33" s="18">
        <f t="shared" si="22"/>
        <v>0</v>
      </c>
      <c r="AP33" s="18">
        <f t="shared" si="23"/>
        <v>0</v>
      </c>
      <c r="AQ33" s="18">
        <f t="shared" si="25"/>
        <v>0</v>
      </c>
      <c r="AR33" s="18">
        <f t="shared" si="26"/>
        <v>0</v>
      </c>
      <c r="AS33" s="18">
        <f t="shared" si="27"/>
        <v>0</v>
      </c>
      <c r="AT33" s="18">
        <f t="shared" si="28"/>
        <v>9</v>
      </c>
      <c r="AU33" s="18">
        <f t="shared" si="29"/>
        <v>0</v>
      </c>
      <c r="AV33" s="18">
        <f t="shared" si="2"/>
        <v>0</v>
      </c>
      <c r="AW33" s="18">
        <f t="shared" si="3"/>
        <v>0</v>
      </c>
      <c r="AX33" s="18">
        <f t="shared" si="4"/>
        <v>0</v>
      </c>
      <c r="AY33" s="18">
        <f t="shared" si="5"/>
        <v>0</v>
      </c>
      <c r="AZ33" s="18">
        <f t="shared" si="6"/>
        <v>0</v>
      </c>
      <c r="BA33" s="18">
        <f t="shared" si="7"/>
        <v>0</v>
      </c>
      <c r="BB33" s="18">
        <f t="shared" si="30"/>
        <v>0</v>
      </c>
      <c r="BC33" s="18"/>
      <c r="BD33" s="55"/>
      <c r="BE33" s="18">
        <f t="shared" si="9"/>
        <v>6</v>
      </c>
      <c r="BF33" s="18">
        <f t="shared" si="10"/>
        <v>1</v>
      </c>
      <c r="BG33" s="18">
        <f t="shared" si="11"/>
        <v>1</v>
      </c>
      <c r="BH33" s="18">
        <f t="shared" si="12"/>
        <v>2</v>
      </c>
      <c r="BI33" s="18">
        <f t="shared" si="13"/>
        <v>0</v>
      </c>
    </row>
    <row r="34" spans="1:95" ht="37.5" customHeight="1" x14ac:dyDescent="0.3">
      <c r="A34" s="49" t="s">
        <v>61</v>
      </c>
      <c r="B34" s="126" t="s">
        <v>32</v>
      </c>
      <c r="C34" s="126">
        <v>4</v>
      </c>
      <c r="D34" s="28" t="s">
        <v>87</v>
      </c>
      <c r="E34" s="24" t="s">
        <v>22</v>
      </c>
      <c r="F34" s="24" t="s">
        <v>21</v>
      </c>
      <c r="G34" s="24" t="s">
        <v>87</v>
      </c>
      <c r="H34" s="24" t="s">
        <v>20</v>
      </c>
      <c r="I34" s="24" t="s">
        <v>23</v>
      </c>
      <c r="J34" s="24" t="s">
        <v>87</v>
      </c>
      <c r="K34" s="24" t="s">
        <v>87</v>
      </c>
      <c r="L34" s="126">
        <v>2</v>
      </c>
      <c r="M34" s="24" t="s">
        <v>20</v>
      </c>
      <c r="N34" s="130" t="s">
        <v>87</v>
      </c>
      <c r="O34" s="130" t="s">
        <v>87</v>
      </c>
      <c r="P34" s="126">
        <v>2</v>
      </c>
      <c r="Q34" s="24" t="s">
        <v>20</v>
      </c>
      <c r="R34" s="130" t="s">
        <v>87</v>
      </c>
      <c r="S34" s="130" t="s">
        <v>87</v>
      </c>
      <c r="T34" s="130" t="s">
        <v>87</v>
      </c>
      <c r="U34" s="24" t="s">
        <v>20</v>
      </c>
      <c r="V34" s="24" t="s">
        <v>20</v>
      </c>
      <c r="W34" s="24" t="s">
        <v>87</v>
      </c>
      <c r="X34" s="126">
        <v>4</v>
      </c>
      <c r="Y34" s="130" t="s">
        <v>87</v>
      </c>
      <c r="Z34" s="24" t="s">
        <v>22</v>
      </c>
      <c r="AA34" s="24" t="s">
        <v>87</v>
      </c>
      <c r="AB34" s="24" t="s">
        <v>23</v>
      </c>
      <c r="AC34" s="50" t="s">
        <v>87</v>
      </c>
      <c r="AD34" s="24" t="s">
        <v>22</v>
      </c>
      <c r="AE34" s="141">
        <v>4</v>
      </c>
      <c r="AF34" s="24" t="s">
        <v>23</v>
      </c>
      <c r="AG34" s="110"/>
      <c r="AH34" s="29">
        <f t="shared" si="24"/>
        <v>0</v>
      </c>
      <c r="AI34" s="29">
        <f t="shared" si="15"/>
        <v>5</v>
      </c>
      <c r="AJ34" s="29">
        <f t="shared" si="15"/>
        <v>3</v>
      </c>
      <c r="AK34" s="29">
        <f t="shared" si="15"/>
        <v>4</v>
      </c>
      <c r="AL34" s="29">
        <f t="shared" si="15"/>
        <v>6</v>
      </c>
      <c r="AM34" s="29">
        <f t="shared" si="15"/>
        <v>0</v>
      </c>
      <c r="AN34" s="29">
        <f t="shared" si="16"/>
        <v>13</v>
      </c>
      <c r="AO34" s="18">
        <f t="shared" si="22"/>
        <v>0</v>
      </c>
      <c r="AP34" s="18">
        <f t="shared" si="23"/>
        <v>0</v>
      </c>
      <c r="AQ34" s="18">
        <f t="shared" si="25"/>
        <v>0</v>
      </c>
      <c r="AR34" s="18">
        <f t="shared" si="26"/>
        <v>2</v>
      </c>
      <c r="AS34" s="18">
        <f t="shared" si="27"/>
        <v>1</v>
      </c>
      <c r="AT34" s="18">
        <f t="shared" si="28"/>
        <v>3</v>
      </c>
      <c r="AU34" s="18">
        <f t="shared" si="29"/>
        <v>0</v>
      </c>
      <c r="AV34" s="18">
        <f t="shared" si="2"/>
        <v>0</v>
      </c>
      <c r="AW34" s="18">
        <f t="shared" si="3"/>
        <v>0</v>
      </c>
      <c r="AX34" s="18">
        <f t="shared" si="4"/>
        <v>0</v>
      </c>
      <c r="AY34" s="18">
        <f t="shared" si="5"/>
        <v>0</v>
      </c>
      <c r="AZ34" s="18">
        <f t="shared" si="6"/>
        <v>0</v>
      </c>
      <c r="BA34" s="18">
        <f t="shared" si="7"/>
        <v>0</v>
      </c>
      <c r="BB34" s="18">
        <f t="shared" si="30"/>
        <v>0</v>
      </c>
      <c r="BC34" s="18"/>
      <c r="BD34" s="55"/>
      <c r="BE34" s="18">
        <f t="shared" si="9"/>
        <v>5</v>
      </c>
      <c r="BF34" s="18">
        <f t="shared" si="10"/>
        <v>1</v>
      </c>
      <c r="BG34" s="18">
        <f t="shared" si="11"/>
        <v>3</v>
      </c>
      <c r="BH34" s="18">
        <f t="shared" si="12"/>
        <v>3</v>
      </c>
      <c r="BI34" s="18">
        <f t="shared" si="13"/>
        <v>0</v>
      </c>
    </row>
    <row r="35" spans="1:95" ht="37.5" customHeight="1" x14ac:dyDescent="0.3">
      <c r="A35" s="49" t="s">
        <v>62</v>
      </c>
      <c r="B35" s="112"/>
      <c r="C35" s="114"/>
      <c r="D35" s="112"/>
      <c r="E35" s="111" t="s">
        <v>90</v>
      </c>
      <c r="F35" s="112" t="s">
        <v>89</v>
      </c>
      <c r="G35" s="112"/>
      <c r="H35" s="111" t="s">
        <v>88</v>
      </c>
      <c r="I35" s="24" t="s">
        <v>93</v>
      </c>
      <c r="J35" s="111" t="s">
        <v>88</v>
      </c>
      <c r="K35" s="112" t="s">
        <v>89</v>
      </c>
      <c r="L35" s="112"/>
      <c r="M35" s="111" t="s">
        <v>90</v>
      </c>
      <c r="N35" s="112" t="s">
        <v>89</v>
      </c>
      <c r="O35" s="112"/>
      <c r="P35" s="112"/>
      <c r="Q35" s="112"/>
      <c r="R35" s="112"/>
      <c r="S35" s="112"/>
      <c r="T35" s="112"/>
      <c r="U35" s="112"/>
      <c r="V35" s="111" t="s">
        <v>90</v>
      </c>
      <c r="W35" s="112" t="s">
        <v>89</v>
      </c>
      <c r="X35" s="112"/>
      <c r="Y35" s="112"/>
      <c r="Z35" s="111" t="s">
        <v>88</v>
      </c>
      <c r="AA35" s="112" t="s">
        <v>89</v>
      </c>
      <c r="AB35" s="112"/>
      <c r="AC35" s="112"/>
      <c r="AD35" s="112"/>
      <c r="AE35" s="112"/>
      <c r="AF35" s="111" t="s">
        <v>90</v>
      </c>
      <c r="AG35" s="112"/>
      <c r="AH35" s="29">
        <f>AO35+AP35</f>
        <v>7</v>
      </c>
      <c r="AI35" s="29">
        <f>AQ35+BE35</f>
        <v>0</v>
      </c>
      <c r="AJ35" s="29">
        <f>AR35+BF35</f>
        <v>0</v>
      </c>
      <c r="AK35" s="29">
        <f>AS35+BG35</f>
        <v>0</v>
      </c>
      <c r="AL35" s="29">
        <f>AT35+BH35</f>
        <v>0</v>
      </c>
      <c r="AM35" s="29">
        <f>AU35+BI35</f>
        <v>0</v>
      </c>
      <c r="AN35" s="29">
        <f>COUNTIF(B35:AF35,"休")</f>
        <v>0</v>
      </c>
      <c r="AO35" s="18">
        <f t="shared" si="22"/>
        <v>4</v>
      </c>
      <c r="AP35" s="18">
        <f t="shared" si="23"/>
        <v>3</v>
      </c>
      <c r="AQ35" s="18">
        <f>COUNTIF($B35:$AF35,"1")</f>
        <v>0</v>
      </c>
      <c r="AR35" s="18">
        <f>COUNTIF($B35:$AF35,"2")</f>
        <v>0</v>
      </c>
      <c r="AS35" s="18">
        <f>COUNTIF($B35:$AF35,"3")</f>
        <v>0</v>
      </c>
      <c r="AT35" s="18">
        <f>COUNTIF($B35:$AF35,"4")</f>
        <v>0</v>
      </c>
      <c r="AU35" s="18">
        <f>COUNTIF($B35:$AF35,"5")</f>
        <v>0</v>
      </c>
      <c r="AV35" s="18">
        <f>COUNTIF($B35:$AF35,"B₂")</f>
        <v>0</v>
      </c>
      <c r="AW35" s="18">
        <f>COUNTIF($B35:$AF35,"遅₁")</f>
        <v>0</v>
      </c>
      <c r="AX35" s="18">
        <f>COUNTIF($B35:$AF35,"遅₂")</f>
        <v>0</v>
      </c>
      <c r="AY35" s="18">
        <f>COUNTIF($B35:$AF35,$AY$3)</f>
        <v>0</v>
      </c>
      <c r="AZ35" s="18">
        <f>COUNTIF($B35:$AF35,"日₂B₂")</f>
        <v>0</v>
      </c>
      <c r="BA35" s="18">
        <f>COUNTIF($B35:$AF35,$BA$3)</f>
        <v>0</v>
      </c>
      <c r="BB35" s="18">
        <f>COUNTIF($B35:$AF35,$BB$3)</f>
        <v>0</v>
      </c>
      <c r="BC35" s="18"/>
      <c r="BD35" s="55"/>
      <c r="BE35" s="18">
        <f>COUNTIF($B35:$AF35,$BE$3)</f>
        <v>0</v>
      </c>
      <c r="BF35" s="18">
        <f>COUNTIF($B35:$AF35,$BF$3)</f>
        <v>0</v>
      </c>
      <c r="BG35" s="18">
        <f>COUNTIF($B35:$AF35,$BG$3)</f>
        <v>0</v>
      </c>
      <c r="BH35" s="18">
        <f>COUNTIF($B35:$AF35,$BH$3)</f>
        <v>0</v>
      </c>
      <c r="BI35" s="18">
        <f>COUNTIF($B35:$AF35,$BI$3)</f>
        <v>0</v>
      </c>
    </row>
    <row r="36" spans="1:95" ht="37.5" customHeight="1" x14ac:dyDescent="0.3">
      <c r="A36" s="49" t="s">
        <v>63</v>
      </c>
      <c r="B36" s="116" t="s">
        <v>91</v>
      </c>
      <c r="C36" s="116" t="s">
        <v>91</v>
      </c>
      <c r="D36" s="26" t="s">
        <v>87</v>
      </c>
      <c r="E36" s="109" t="s">
        <v>87</v>
      </c>
      <c r="F36" s="109" t="s">
        <v>87</v>
      </c>
      <c r="G36" s="109" t="s">
        <v>87</v>
      </c>
      <c r="H36" s="116" t="s">
        <v>87</v>
      </c>
      <c r="I36" s="116" t="s">
        <v>91</v>
      </c>
      <c r="J36" s="116" t="s">
        <v>87</v>
      </c>
      <c r="K36" s="116" t="s">
        <v>87</v>
      </c>
      <c r="L36" s="109" t="s">
        <v>87</v>
      </c>
      <c r="M36" s="109" t="s">
        <v>87</v>
      </c>
      <c r="N36" s="119" t="s">
        <v>91</v>
      </c>
      <c r="O36" s="116" t="s">
        <v>87</v>
      </c>
      <c r="P36" s="116" t="s">
        <v>91</v>
      </c>
      <c r="Q36" s="116" t="s">
        <v>87</v>
      </c>
      <c r="R36" s="116" t="s">
        <v>91</v>
      </c>
      <c r="S36" s="109" t="s">
        <v>87</v>
      </c>
      <c r="T36" s="109" t="s">
        <v>87</v>
      </c>
      <c r="U36" s="109" t="s">
        <v>87</v>
      </c>
      <c r="V36" s="119" t="s">
        <v>91</v>
      </c>
      <c r="W36" s="116" t="s">
        <v>91</v>
      </c>
      <c r="X36" s="116" t="s">
        <v>87</v>
      </c>
      <c r="Y36" s="119" t="s">
        <v>91</v>
      </c>
      <c r="Z36" s="109" t="s">
        <v>87</v>
      </c>
      <c r="AA36" s="109" t="s">
        <v>87</v>
      </c>
      <c r="AB36" s="109" t="s">
        <v>87</v>
      </c>
      <c r="AC36" s="116" t="s">
        <v>87</v>
      </c>
      <c r="AD36" s="116" t="s">
        <v>91</v>
      </c>
      <c r="AE36" s="116" t="s">
        <v>87</v>
      </c>
      <c r="AF36" s="119" t="s">
        <v>91</v>
      </c>
      <c r="AG36" s="34"/>
      <c r="AH36" s="29">
        <f t="shared" si="24"/>
        <v>0</v>
      </c>
      <c r="AI36" s="29">
        <f t="shared" si="15"/>
        <v>0</v>
      </c>
      <c r="AJ36" s="29">
        <f t="shared" si="15"/>
        <v>0</v>
      </c>
      <c r="AK36" s="29">
        <f t="shared" si="15"/>
        <v>0</v>
      </c>
      <c r="AL36" s="29">
        <f t="shared" si="15"/>
        <v>0</v>
      </c>
      <c r="AM36" s="29">
        <f t="shared" si="15"/>
        <v>0</v>
      </c>
      <c r="AN36" s="29">
        <f t="shared" si="16"/>
        <v>20</v>
      </c>
      <c r="AO36" s="18">
        <f t="shared" si="22"/>
        <v>0</v>
      </c>
      <c r="AP36" s="18">
        <f t="shared" si="23"/>
        <v>0</v>
      </c>
      <c r="AQ36" s="18">
        <f t="shared" si="25"/>
        <v>0</v>
      </c>
      <c r="AR36" s="18">
        <f t="shared" si="26"/>
        <v>0</v>
      </c>
      <c r="AS36" s="18">
        <f t="shared" si="27"/>
        <v>0</v>
      </c>
      <c r="AT36" s="18">
        <f t="shared" si="28"/>
        <v>0</v>
      </c>
      <c r="AU36" s="18">
        <f t="shared" si="29"/>
        <v>0</v>
      </c>
      <c r="AV36" s="18">
        <f t="shared" si="2"/>
        <v>0</v>
      </c>
      <c r="AW36" s="18">
        <f t="shared" si="3"/>
        <v>0</v>
      </c>
      <c r="AX36" s="18">
        <f t="shared" si="4"/>
        <v>0</v>
      </c>
      <c r="AY36" s="18">
        <f t="shared" si="5"/>
        <v>0</v>
      </c>
      <c r="AZ36" s="18">
        <f t="shared" si="6"/>
        <v>0</v>
      </c>
      <c r="BA36" s="18">
        <f t="shared" si="7"/>
        <v>0</v>
      </c>
      <c r="BB36" s="18">
        <f t="shared" si="30"/>
        <v>0</v>
      </c>
      <c r="BC36" s="18"/>
      <c r="BD36" s="51"/>
      <c r="BE36" s="18">
        <f t="shared" si="9"/>
        <v>0</v>
      </c>
      <c r="BF36" s="18">
        <f t="shared" si="10"/>
        <v>0</v>
      </c>
      <c r="BG36" s="18">
        <f t="shared" si="11"/>
        <v>0</v>
      </c>
      <c r="BH36" s="18">
        <f t="shared" si="12"/>
        <v>0</v>
      </c>
      <c r="BI36" s="18">
        <f t="shared" si="13"/>
        <v>0</v>
      </c>
    </row>
    <row r="37" spans="1:95" ht="37.5" customHeight="1" x14ac:dyDescent="0.3">
      <c r="A37" s="49" t="s">
        <v>64</v>
      </c>
      <c r="B37" s="109" t="s">
        <v>87</v>
      </c>
      <c r="C37" s="118" t="s">
        <v>97</v>
      </c>
      <c r="D37" s="121" t="s">
        <v>97</v>
      </c>
      <c r="E37" s="109" t="s">
        <v>87</v>
      </c>
      <c r="F37" s="109" t="s">
        <v>87</v>
      </c>
      <c r="G37" s="121" t="s">
        <v>97</v>
      </c>
      <c r="H37" s="116" t="s">
        <v>98</v>
      </c>
      <c r="I37" s="109" t="s">
        <v>87</v>
      </c>
      <c r="J37" s="121" t="s">
        <v>97</v>
      </c>
      <c r="K37" s="117" t="s">
        <v>96</v>
      </c>
      <c r="L37" s="109" t="s">
        <v>87</v>
      </c>
      <c r="M37" s="109" t="s">
        <v>87</v>
      </c>
      <c r="N37" s="109" t="s">
        <v>87</v>
      </c>
      <c r="O37" s="117" t="s">
        <v>96</v>
      </c>
      <c r="P37" s="109" t="s">
        <v>87</v>
      </c>
      <c r="Q37" s="122" t="s">
        <v>96</v>
      </c>
      <c r="R37" s="109" t="s">
        <v>87</v>
      </c>
      <c r="S37" s="109" t="s">
        <v>87</v>
      </c>
      <c r="T37" s="109" t="s">
        <v>87</v>
      </c>
      <c r="U37" s="109" t="s">
        <v>87</v>
      </c>
      <c r="V37" s="109" t="s">
        <v>87</v>
      </c>
      <c r="W37" s="123" t="s">
        <v>87</v>
      </c>
      <c r="X37" s="118" t="s">
        <v>87</v>
      </c>
      <c r="Y37" s="116" t="s">
        <v>91</v>
      </c>
      <c r="Z37" s="109" t="s">
        <v>87</v>
      </c>
      <c r="AA37" s="109" t="s">
        <v>87</v>
      </c>
      <c r="AB37" s="116" t="s">
        <v>91</v>
      </c>
      <c r="AC37" s="124" t="s">
        <v>87</v>
      </c>
      <c r="AD37" s="119" t="s">
        <v>91</v>
      </c>
      <c r="AE37" s="124" t="s">
        <v>87</v>
      </c>
      <c r="AF37" s="124" t="s">
        <v>87</v>
      </c>
      <c r="AG37" s="24"/>
      <c r="AH37" s="29">
        <f t="shared" si="24"/>
        <v>0</v>
      </c>
      <c r="AI37" s="29">
        <f t="shared" si="15"/>
        <v>0</v>
      </c>
      <c r="AJ37" s="29">
        <f t="shared" si="15"/>
        <v>0</v>
      </c>
      <c r="AK37" s="29">
        <f t="shared" si="15"/>
        <v>0</v>
      </c>
      <c r="AL37" s="29">
        <f t="shared" si="15"/>
        <v>0</v>
      </c>
      <c r="AM37" s="29">
        <f t="shared" si="15"/>
        <v>0</v>
      </c>
      <c r="AN37" s="29">
        <f t="shared" si="16"/>
        <v>20</v>
      </c>
      <c r="AO37" s="18">
        <f t="shared" si="22"/>
        <v>0</v>
      </c>
      <c r="AP37" s="18">
        <f t="shared" si="23"/>
        <v>0</v>
      </c>
      <c r="AQ37" s="18">
        <f t="shared" si="25"/>
        <v>0</v>
      </c>
      <c r="AR37" s="18">
        <f t="shared" si="26"/>
        <v>0</v>
      </c>
      <c r="AS37" s="18">
        <f t="shared" si="27"/>
        <v>0</v>
      </c>
      <c r="AT37" s="18">
        <f t="shared" si="28"/>
        <v>0</v>
      </c>
      <c r="AU37" s="18">
        <f t="shared" si="29"/>
        <v>0</v>
      </c>
      <c r="AV37" s="18">
        <f t="shared" si="2"/>
        <v>0</v>
      </c>
      <c r="AW37" s="18">
        <f t="shared" si="3"/>
        <v>0</v>
      </c>
      <c r="AX37" s="18">
        <f t="shared" si="4"/>
        <v>0</v>
      </c>
      <c r="AY37" s="18">
        <f t="shared" si="5"/>
        <v>0</v>
      </c>
      <c r="AZ37" s="18">
        <f t="shared" si="6"/>
        <v>0</v>
      </c>
      <c r="BA37" s="18">
        <f t="shared" si="7"/>
        <v>0</v>
      </c>
      <c r="BB37" s="18">
        <f t="shared" si="30"/>
        <v>0</v>
      </c>
      <c r="BC37" s="18"/>
      <c r="BD37" s="55"/>
      <c r="BE37" s="18">
        <f t="shared" si="9"/>
        <v>0</v>
      </c>
      <c r="BF37" s="18">
        <f t="shared" si="10"/>
        <v>0</v>
      </c>
      <c r="BG37" s="18">
        <f t="shared" si="11"/>
        <v>0</v>
      </c>
      <c r="BH37" s="18">
        <f t="shared" si="12"/>
        <v>0</v>
      </c>
      <c r="BI37" s="18">
        <f t="shared" si="13"/>
        <v>0</v>
      </c>
    </row>
    <row r="38" spans="1:95" ht="37.5" customHeight="1" x14ac:dyDescent="0.3">
      <c r="A38" s="49" t="s">
        <v>65</v>
      </c>
      <c r="B38" s="109" t="s">
        <v>87</v>
      </c>
      <c r="C38" s="120" t="s">
        <v>95</v>
      </c>
      <c r="D38" s="109" t="s">
        <v>87</v>
      </c>
      <c r="E38" s="109" t="s">
        <v>87</v>
      </c>
      <c r="F38" s="109" t="s">
        <v>87</v>
      </c>
      <c r="G38" s="109" t="s">
        <v>87</v>
      </c>
      <c r="H38" s="109" t="s">
        <v>87</v>
      </c>
      <c r="I38" s="109" t="s">
        <v>87</v>
      </c>
      <c r="J38" s="56" t="s">
        <v>95</v>
      </c>
      <c r="K38" s="120" t="s">
        <v>95</v>
      </c>
      <c r="L38" s="109" t="s">
        <v>87</v>
      </c>
      <c r="M38" s="109" t="s">
        <v>87</v>
      </c>
      <c r="N38" s="56" t="s">
        <v>95</v>
      </c>
      <c r="O38" s="120" t="s">
        <v>95</v>
      </c>
      <c r="P38" s="109" t="s">
        <v>87</v>
      </c>
      <c r="Q38" s="56" t="s">
        <v>95</v>
      </c>
      <c r="R38" s="109" t="s">
        <v>87</v>
      </c>
      <c r="S38" s="109" t="s">
        <v>87</v>
      </c>
      <c r="T38" s="109" t="s">
        <v>87</v>
      </c>
      <c r="U38" s="109" t="s">
        <v>87</v>
      </c>
      <c r="V38" s="109" t="s">
        <v>87</v>
      </c>
      <c r="W38" s="109" t="s">
        <v>87</v>
      </c>
      <c r="X38" s="109" t="s">
        <v>87</v>
      </c>
      <c r="Y38" s="109" t="s">
        <v>87</v>
      </c>
      <c r="Z38" s="109" t="s">
        <v>87</v>
      </c>
      <c r="AA38" s="109" t="s">
        <v>87</v>
      </c>
      <c r="AB38" s="109" t="s">
        <v>87</v>
      </c>
      <c r="AC38" s="109" t="s">
        <v>87</v>
      </c>
      <c r="AD38" s="109" t="s">
        <v>87</v>
      </c>
      <c r="AE38" s="109" t="s">
        <v>87</v>
      </c>
      <c r="AF38" s="109" t="s">
        <v>87</v>
      </c>
      <c r="AG38" s="24"/>
      <c r="AH38" s="29">
        <f>AO38+AP38+BC38</f>
        <v>0</v>
      </c>
      <c r="AI38" s="29">
        <f>AQ38+BE38</f>
        <v>0</v>
      </c>
      <c r="AJ38" s="29">
        <f>AR38+BF38</f>
        <v>0</v>
      </c>
      <c r="AK38" s="29">
        <f>AS38+BG38</f>
        <v>0</v>
      </c>
      <c r="AL38" s="29">
        <f>AT38+BH38</f>
        <v>0</v>
      </c>
      <c r="AM38" s="29">
        <f>AU38+BI38</f>
        <v>0</v>
      </c>
      <c r="AN38" s="50">
        <f>COUNTIF(B38:AF38,"休")</f>
        <v>25</v>
      </c>
      <c r="AO38" s="18">
        <f t="shared" si="22"/>
        <v>0</v>
      </c>
      <c r="AP38" s="18">
        <f t="shared" si="23"/>
        <v>0</v>
      </c>
      <c r="AQ38" s="18">
        <f>COUNTIF($B38:$AF38,"早₁")</f>
        <v>0</v>
      </c>
      <c r="AR38" s="18">
        <f>COUNTIF($B38:$AF38,"早₂")</f>
        <v>0</v>
      </c>
      <c r="AS38" s="18">
        <f>COUNTIF($B38:$AF38,"日₁")</f>
        <v>0</v>
      </c>
      <c r="AT38" s="18">
        <f>COUNTIF($B38:$AF38,"日₂")</f>
        <v>0</v>
      </c>
      <c r="AU38" s="18">
        <f>COUNTIF($B38:$AF38,"B₁")</f>
        <v>0</v>
      </c>
      <c r="AV38" s="18">
        <f>COUNTIF($B38:$AF38,"B₂")</f>
        <v>0</v>
      </c>
      <c r="AW38" s="18">
        <f>COUNTIF($B38:$AF38,"遅₁")</f>
        <v>0</v>
      </c>
      <c r="AX38" s="18">
        <f>COUNTIF($B38:$AF38,"遅₂")</f>
        <v>0</v>
      </c>
      <c r="AY38" s="18">
        <f>COUNTIF($B38:$AF38,$AY$3)</f>
        <v>0</v>
      </c>
      <c r="AZ38" s="18">
        <f>COUNTIF($B38:$AF38,"日₂B₂")</f>
        <v>0</v>
      </c>
      <c r="BA38" s="18">
        <f>COUNTIF($B38:$AF38,$BA$3)</f>
        <v>0</v>
      </c>
      <c r="BB38" s="18">
        <f>COUNTIF($B38:$AF38,#REF!)</f>
        <v>0</v>
      </c>
      <c r="BC38" s="18"/>
      <c r="BD38" s="18">
        <f>COUNTIF($B38:$AF38,#REF!)</f>
        <v>0</v>
      </c>
      <c r="BE38" s="18">
        <f>COUNTIF($B38:$AF38,$BE$3)</f>
        <v>0</v>
      </c>
      <c r="BF38" s="18">
        <f>COUNTIF($B38:$AF38,$BF$3)</f>
        <v>0</v>
      </c>
      <c r="BG38" s="18">
        <f>COUNTIF($B38:$AF38,$BG$3)</f>
        <v>0</v>
      </c>
      <c r="BH38" s="18">
        <f>COUNTIF($B38:$AF38,$BH$3)</f>
        <v>0</v>
      </c>
      <c r="BI38" s="18">
        <f>COUNTIF($B38:$AF38,$BI$3)</f>
        <v>0</v>
      </c>
    </row>
    <row r="39" spans="1:95" ht="37.5" customHeight="1" x14ac:dyDescent="0.3">
      <c r="A39" s="54"/>
      <c r="B39" s="56"/>
      <c r="C39" s="25"/>
      <c r="D39" s="26"/>
      <c r="E39" s="25"/>
      <c r="F39" s="26"/>
      <c r="G39" s="26"/>
      <c r="H39" s="25"/>
      <c r="I39" s="26"/>
      <c r="J39" s="26"/>
      <c r="K39" s="36" t="s">
        <v>30</v>
      </c>
      <c r="L39" s="56"/>
      <c r="M39" s="56"/>
      <c r="N39" s="25"/>
      <c r="O39" s="26"/>
      <c r="P39" s="56"/>
      <c r="Q39" s="41" t="s">
        <v>31</v>
      </c>
      <c r="R39" s="26"/>
      <c r="S39" s="56"/>
      <c r="T39" s="56"/>
      <c r="U39" s="26"/>
      <c r="V39" s="26"/>
      <c r="W39" s="25"/>
      <c r="X39" s="38" t="s">
        <v>92</v>
      </c>
      <c r="Y39" s="115" t="s">
        <v>92</v>
      </c>
      <c r="Z39" s="56"/>
      <c r="AA39" s="25"/>
      <c r="AB39" s="26"/>
      <c r="AC39" s="26"/>
      <c r="AD39" s="56"/>
      <c r="AE39" s="26"/>
      <c r="AF39" s="24"/>
      <c r="AG39" s="24"/>
      <c r="AH39" s="29"/>
      <c r="AI39" s="29"/>
      <c r="AJ39" s="29"/>
      <c r="AK39" s="29"/>
      <c r="AL39" s="30"/>
      <c r="AM39" s="29"/>
      <c r="AN39" s="50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</row>
    <row r="40" spans="1:95" ht="37.5" customHeight="1" x14ac:dyDescent="0.3">
      <c r="A40" s="35" t="s">
        <v>66</v>
      </c>
      <c r="B40" s="24">
        <f>B52+B54+B56+B58+B60</f>
        <v>5</v>
      </c>
      <c r="C40" s="24">
        <f t="shared" ref="C40:AF41" si="31">C52+C54+C56+C58+C60</f>
        <v>4</v>
      </c>
      <c r="D40" s="24">
        <f t="shared" si="31"/>
        <v>6</v>
      </c>
      <c r="E40" s="24">
        <f t="shared" si="31"/>
        <v>6</v>
      </c>
      <c r="F40" s="24">
        <f t="shared" si="31"/>
        <v>5</v>
      </c>
      <c r="G40" s="24">
        <f t="shared" si="31"/>
        <v>6</v>
      </c>
      <c r="H40" s="24">
        <f t="shared" si="31"/>
        <v>5</v>
      </c>
      <c r="I40" s="24">
        <f t="shared" si="31"/>
        <v>5</v>
      </c>
      <c r="J40" s="24">
        <f t="shared" si="31"/>
        <v>5</v>
      </c>
      <c r="K40" s="24">
        <f t="shared" si="31"/>
        <v>5</v>
      </c>
      <c r="L40" s="24">
        <f t="shared" si="31"/>
        <v>6</v>
      </c>
      <c r="M40" s="24">
        <f t="shared" si="31"/>
        <v>5</v>
      </c>
      <c r="N40" s="24">
        <f t="shared" si="31"/>
        <v>5</v>
      </c>
      <c r="O40" s="24">
        <f t="shared" si="31"/>
        <v>6</v>
      </c>
      <c r="P40" s="24">
        <f t="shared" si="31"/>
        <v>5</v>
      </c>
      <c r="Q40" s="24">
        <f t="shared" si="31"/>
        <v>5</v>
      </c>
      <c r="R40" s="24">
        <f t="shared" si="31"/>
        <v>5</v>
      </c>
      <c r="S40" s="24">
        <f t="shared" si="31"/>
        <v>5</v>
      </c>
      <c r="T40" s="24">
        <f t="shared" si="31"/>
        <v>4</v>
      </c>
      <c r="U40" s="24">
        <f t="shared" si="31"/>
        <v>5</v>
      </c>
      <c r="V40" s="24">
        <f t="shared" si="31"/>
        <v>5</v>
      </c>
      <c r="W40" s="24">
        <f>W52+W54+W56+W58+W60</f>
        <v>5</v>
      </c>
      <c r="X40" s="24">
        <f t="shared" si="31"/>
        <v>5</v>
      </c>
      <c r="Y40" s="24">
        <f t="shared" si="31"/>
        <v>4</v>
      </c>
      <c r="Z40" s="24">
        <f t="shared" si="31"/>
        <v>5</v>
      </c>
      <c r="AA40" s="24">
        <f t="shared" si="31"/>
        <v>5</v>
      </c>
      <c r="AB40" s="24">
        <f t="shared" si="31"/>
        <v>5</v>
      </c>
      <c r="AC40" s="24">
        <f t="shared" si="31"/>
        <v>5</v>
      </c>
      <c r="AD40" s="24">
        <f t="shared" si="31"/>
        <v>5</v>
      </c>
      <c r="AE40" s="24">
        <f t="shared" si="31"/>
        <v>5</v>
      </c>
      <c r="AF40" s="24">
        <f t="shared" si="31"/>
        <v>4</v>
      </c>
      <c r="AG40" s="24"/>
      <c r="AH40" s="29"/>
      <c r="AI40" s="29"/>
      <c r="AJ40" s="29"/>
      <c r="AK40" s="29"/>
      <c r="AL40" s="30"/>
      <c r="AM40" s="29"/>
      <c r="AN40" s="50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57"/>
      <c r="BF40" s="18"/>
      <c r="BG40" s="18"/>
    </row>
    <row r="41" spans="1:95" ht="37.5" customHeight="1" x14ac:dyDescent="0.3">
      <c r="A41" s="33" t="s">
        <v>67</v>
      </c>
      <c r="B41" s="28">
        <f>B53+B55+B57+B59+B61</f>
        <v>6</v>
      </c>
      <c r="C41" s="28">
        <f t="shared" si="31"/>
        <v>6</v>
      </c>
      <c r="D41" s="28">
        <f t="shared" si="31"/>
        <v>6</v>
      </c>
      <c r="E41" s="28">
        <f t="shared" si="31"/>
        <v>6</v>
      </c>
      <c r="F41" s="28">
        <f t="shared" si="31"/>
        <v>5</v>
      </c>
      <c r="G41" s="28">
        <f t="shared" si="31"/>
        <v>6</v>
      </c>
      <c r="H41" s="28">
        <f t="shared" si="31"/>
        <v>6</v>
      </c>
      <c r="I41" s="28">
        <f t="shared" si="31"/>
        <v>6</v>
      </c>
      <c r="J41" s="28">
        <f t="shared" si="31"/>
        <v>5</v>
      </c>
      <c r="K41" s="28">
        <f t="shared" si="31"/>
        <v>6</v>
      </c>
      <c r="L41" s="28">
        <f t="shared" si="31"/>
        <v>6</v>
      </c>
      <c r="M41" s="28">
        <f t="shared" si="31"/>
        <v>5</v>
      </c>
      <c r="N41" s="28">
        <f t="shared" si="31"/>
        <v>5</v>
      </c>
      <c r="O41" s="28">
        <f t="shared" si="31"/>
        <v>6</v>
      </c>
      <c r="P41" s="28">
        <f t="shared" si="31"/>
        <v>6</v>
      </c>
      <c r="Q41" s="28">
        <f t="shared" si="31"/>
        <v>6</v>
      </c>
      <c r="R41" s="28">
        <f t="shared" si="31"/>
        <v>6</v>
      </c>
      <c r="S41" s="28">
        <f t="shared" si="31"/>
        <v>6</v>
      </c>
      <c r="T41" s="28">
        <f t="shared" si="31"/>
        <v>5</v>
      </c>
      <c r="U41" s="28">
        <f t="shared" si="31"/>
        <v>5</v>
      </c>
      <c r="V41" s="28">
        <f t="shared" si="31"/>
        <v>5</v>
      </c>
      <c r="W41" s="28">
        <f t="shared" si="31"/>
        <v>5</v>
      </c>
      <c r="X41" s="28">
        <f t="shared" si="31"/>
        <v>6</v>
      </c>
      <c r="Y41" s="28">
        <f t="shared" si="31"/>
        <v>5</v>
      </c>
      <c r="Z41" s="28">
        <f t="shared" si="31"/>
        <v>6</v>
      </c>
      <c r="AA41" s="28">
        <f t="shared" si="31"/>
        <v>5</v>
      </c>
      <c r="AB41" s="28">
        <f t="shared" si="31"/>
        <v>5</v>
      </c>
      <c r="AC41" s="28">
        <f t="shared" si="31"/>
        <v>6</v>
      </c>
      <c r="AD41" s="28">
        <f t="shared" si="31"/>
        <v>5</v>
      </c>
      <c r="AE41" s="28">
        <f t="shared" si="31"/>
        <v>6</v>
      </c>
      <c r="AF41" s="28">
        <f t="shared" si="31"/>
        <v>5</v>
      </c>
      <c r="AG41" s="24"/>
      <c r="AH41" s="29">
        <f>AO41+AP41+BC41</f>
        <v>0</v>
      </c>
      <c r="AI41" s="29">
        <f>AQ41+AR41+BG41+BF41</f>
        <v>0</v>
      </c>
      <c r="AJ41" s="29">
        <f>AS41+AT41</f>
        <v>0</v>
      </c>
      <c r="AK41" s="29">
        <f>AU41+AV41</f>
        <v>0</v>
      </c>
      <c r="AL41" s="30">
        <f>BB41</f>
        <v>0</v>
      </c>
      <c r="AM41" s="29">
        <f>AW41+AX41</f>
        <v>0</v>
      </c>
      <c r="AN41" s="50">
        <f>COUNTIF(B41:AF41,"休")</f>
        <v>0</v>
      </c>
      <c r="AO41" s="18">
        <f>COUNTIF($B41:$AF41,"C₁")</f>
        <v>0</v>
      </c>
      <c r="AP41" s="18">
        <f>COUNTIF($B41:$AF41,"C₂")</f>
        <v>0</v>
      </c>
      <c r="AQ41" s="18">
        <f>COUNTIF($B41:$AF41,"早₁")</f>
        <v>0</v>
      </c>
      <c r="AR41" s="18">
        <f>COUNTIF($B41:$AF41,"早₂")</f>
        <v>0</v>
      </c>
      <c r="AS41" s="18">
        <f>COUNTIF($B41:$AF41,"日₁")</f>
        <v>0</v>
      </c>
      <c r="AT41" s="18">
        <f>COUNTIF($B41:$AF41,"日₂")</f>
        <v>0</v>
      </c>
      <c r="AU41" s="18">
        <f>COUNTIF($B41:$AF41,"B₁")</f>
        <v>0</v>
      </c>
      <c r="AV41" s="18">
        <f>COUNTIF($B41:$AF41,"B₂")</f>
        <v>0</v>
      </c>
      <c r="AW41" s="18">
        <f>COUNTIF($B41:$AF41,"遅₁")</f>
        <v>0</v>
      </c>
      <c r="AX41" s="18">
        <f>COUNTIF($B41:$AF41,"遅₂")</f>
        <v>0</v>
      </c>
      <c r="AY41" s="18">
        <f>COUNTIF($B41:$AF41,$AY$3)</f>
        <v>0</v>
      </c>
      <c r="AZ41" s="18">
        <f>COUNTIF($B41:$AF41,"日₂B₂")</f>
        <v>0</v>
      </c>
      <c r="BA41" s="18">
        <f>COUNTIF($B41:$AF41,$BA$3)</f>
        <v>0</v>
      </c>
      <c r="BB41" s="18">
        <f>COUNTIF($B41:$AF41,#REF!)</f>
        <v>0</v>
      </c>
      <c r="BC41" s="18"/>
      <c r="BD41" s="18">
        <f>COUNTIF($B41:$AF41,#REF!)</f>
        <v>0</v>
      </c>
      <c r="BE41" s="57"/>
      <c r="BF41" s="18">
        <f>COUNTIF(B41:AF41,#REF!)</f>
        <v>0</v>
      </c>
      <c r="BG41" s="18">
        <f>COUNTIF(B41:AF41,#REF!)</f>
        <v>0</v>
      </c>
    </row>
    <row r="42" spans="1:95" ht="24" customHeight="1" x14ac:dyDescent="0.3">
      <c r="A42" s="33"/>
      <c r="B42" s="4">
        <v>1</v>
      </c>
      <c r="C42" s="4">
        <v>2</v>
      </c>
      <c r="D42" s="4">
        <v>3</v>
      </c>
      <c r="E42" s="4">
        <v>4</v>
      </c>
      <c r="F42" s="4">
        <v>5</v>
      </c>
      <c r="G42" s="4">
        <v>6</v>
      </c>
      <c r="H42" s="4">
        <v>7</v>
      </c>
      <c r="I42" s="4">
        <v>8</v>
      </c>
      <c r="J42" s="4">
        <v>9</v>
      </c>
      <c r="K42" s="4">
        <v>10</v>
      </c>
      <c r="L42" s="4">
        <v>11</v>
      </c>
      <c r="M42" s="4">
        <v>12</v>
      </c>
      <c r="N42" s="4">
        <v>13</v>
      </c>
      <c r="O42" s="4">
        <v>14</v>
      </c>
      <c r="P42" s="4">
        <v>15</v>
      </c>
      <c r="Q42" s="4">
        <v>16</v>
      </c>
      <c r="R42" s="4">
        <v>17</v>
      </c>
      <c r="S42" s="4">
        <v>18</v>
      </c>
      <c r="T42" s="4">
        <v>19</v>
      </c>
      <c r="U42" s="4">
        <v>20</v>
      </c>
      <c r="V42" s="4">
        <v>21</v>
      </c>
      <c r="W42" s="4">
        <v>22</v>
      </c>
      <c r="X42" s="4">
        <v>23</v>
      </c>
      <c r="Y42" s="4">
        <v>24</v>
      </c>
      <c r="Z42" s="4">
        <v>25</v>
      </c>
      <c r="AA42" s="4">
        <v>26</v>
      </c>
      <c r="AB42" s="4">
        <v>27</v>
      </c>
      <c r="AC42" s="4">
        <v>28</v>
      </c>
      <c r="AD42" s="4">
        <v>29</v>
      </c>
      <c r="AE42" s="4">
        <v>30</v>
      </c>
      <c r="AF42" s="4">
        <v>31</v>
      </c>
      <c r="AG42" s="58"/>
      <c r="AH42" s="59"/>
      <c r="AI42" s="60"/>
      <c r="AJ42" s="60"/>
      <c r="AK42" s="60"/>
      <c r="AL42" s="60"/>
      <c r="AM42" s="60"/>
      <c r="AN42" s="60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18"/>
      <c r="BF42" s="8"/>
      <c r="BG42" s="8"/>
      <c r="BH42" s="8"/>
      <c r="BI42" s="8"/>
      <c r="BJ42" s="29"/>
      <c r="BK42" s="8"/>
      <c r="BL42" s="8"/>
    </row>
    <row r="43" spans="1:95" ht="24" customHeight="1" x14ac:dyDescent="0.25">
      <c r="A43" s="61"/>
      <c r="B43" s="11" t="s">
        <v>86</v>
      </c>
      <c r="C43" s="11" t="s">
        <v>4</v>
      </c>
      <c r="D43" s="11" t="s">
        <v>5</v>
      </c>
      <c r="E43" s="11" t="s">
        <v>6</v>
      </c>
      <c r="F43" s="11" t="s">
        <v>7</v>
      </c>
      <c r="G43" s="11" t="s">
        <v>8</v>
      </c>
      <c r="H43" s="11" t="s">
        <v>2</v>
      </c>
      <c r="I43" s="11" t="s">
        <v>3</v>
      </c>
      <c r="J43" s="11" t="s">
        <v>4</v>
      </c>
      <c r="K43" s="11" t="s">
        <v>5</v>
      </c>
      <c r="L43" s="11" t="s">
        <v>6</v>
      </c>
      <c r="M43" s="11" t="s">
        <v>7</v>
      </c>
      <c r="N43" s="11" t="s">
        <v>8</v>
      </c>
      <c r="O43" s="11" t="s">
        <v>2</v>
      </c>
      <c r="P43" s="11" t="s">
        <v>3</v>
      </c>
      <c r="Q43" s="11" t="s">
        <v>4</v>
      </c>
      <c r="R43" s="11" t="s">
        <v>5</v>
      </c>
      <c r="S43" s="11" t="s">
        <v>6</v>
      </c>
      <c r="T43" s="11" t="s">
        <v>7</v>
      </c>
      <c r="U43" s="11" t="s">
        <v>8</v>
      </c>
      <c r="V43" s="11" t="s">
        <v>2</v>
      </c>
      <c r="W43" s="11" t="s">
        <v>3</v>
      </c>
      <c r="X43" s="11" t="s">
        <v>4</v>
      </c>
      <c r="Y43" s="11" t="s">
        <v>5</v>
      </c>
      <c r="Z43" s="11" t="s">
        <v>6</v>
      </c>
      <c r="AA43" s="11" t="s">
        <v>7</v>
      </c>
      <c r="AB43" s="11" t="s">
        <v>8</v>
      </c>
      <c r="AC43" s="11" t="s">
        <v>2</v>
      </c>
      <c r="AD43" s="11" t="s">
        <v>3</v>
      </c>
      <c r="AE43" s="11" t="s">
        <v>4</v>
      </c>
      <c r="AF43" s="11" t="s">
        <v>5</v>
      </c>
      <c r="AG43" s="12"/>
      <c r="AH43" s="62" t="s">
        <v>9</v>
      </c>
      <c r="AI43" s="14">
        <v>1</v>
      </c>
      <c r="AJ43" s="14">
        <v>2</v>
      </c>
      <c r="AK43" s="14">
        <v>3</v>
      </c>
      <c r="AL43" s="14">
        <v>4</v>
      </c>
      <c r="AM43" s="14">
        <v>5</v>
      </c>
      <c r="AN43" s="14" t="s">
        <v>10</v>
      </c>
      <c r="AO43" s="15" t="s">
        <v>11</v>
      </c>
      <c r="AP43" s="16" t="s">
        <v>12</v>
      </c>
      <c r="AQ43" s="17">
        <v>1</v>
      </c>
      <c r="AR43" s="17">
        <v>2</v>
      </c>
      <c r="AS43" s="17">
        <v>3</v>
      </c>
      <c r="AT43" s="17">
        <v>4</v>
      </c>
      <c r="AU43" s="17">
        <v>5</v>
      </c>
      <c r="AV43" s="17" t="s">
        <v>13</v>
      </c>
      <c r="AW43" s="17" t="s">
        <v>14</v>
      </c>
      <c r="AX43" s="17" t="s">
        <v>15</v>
      </c>
      <c r="AY43" s="17" t="s">
        <v>68</v>
      </c>
      <c r="AZ43" s="17" t="s">
        <v>69</v>
      </c>
      <c r="BA43" s="17" t="s">
        <v>18</v>
      </c>
      <c r="BB43" s="17" t="s">
        <v>19</v>
      </c>
      <c r="BC43" s="18"/>
      <c r="BD43" s="63" t="s">
        <v>70</v>
      </c>
      <c r="BE43" s="57"/>
      <c r="BF43" s="64" t="s">
        <v>71</v>
      </c>
      <c r="BG43" s="65" t="s">
        <v>72</v>
      </c>
    </row>
    <row r="44" spans="1:95" ht="37.5" customHeight="1" x14ac:dyDescent="0.3">
      <c r="A44" s="33"/>
      <c r="B44" s="25"/>
      <c r="C44" s="36"/>
      <c r="D44" s="25"/>
      <c r="E44" s="25"/>
      <c r="F44" s="37"/>
      <c r="G44" s="38"/>
      <c r="H44" s="39"/>
      <c r="I44" s="39"/>
      <c r="J44" s="40"/>
      <c r="K44" s="36"/>
      <c r="L44" s="36"/>
      <c r="M44" s="39"/>
      <c r="N44" s="40"/>
      <c r="O44" s="39"/>
      <c r="P44" s="38"/>
      <c r="Q44" s="38"/>
      <c r="R44" s="39"/>
      <c r="S44" s="41"/>
      <c r="T44" s="38"/>
      <c r="U44" s="38"/>
      <c r="V44" s="42"/>
      <c r="W44" s="38"/>
      <c r="X44" s="39"/>
      <c r="Y44" s="25"/>
      <c r="Z44" s="43"/>
      <c r="AA44" s="44"/>
      <c r="AB44" s="25"/>
      <c r="AC44" s="45"/>
      <c r="AD44" s="44"/>
      <c r="AE44" s="46"/>
      <c r="AF44" s="44"/>
      <c r="AG44" s="24"/>
      <c r="AH44" s="29">
        <f>AO44+AP44+BC44</f>
        <v>0</v>
      </c>
      <c r="AI44" s="29">
        <f>AQ44+AR44+BG44+BF44</f>
        <v>0</v>
      </c>
      <c r="AJ44" s="29">
        <f>AS44+AT44</f>
        <v>0</v>
      </c>
      <c r="AK44" s="29">
        <f>AU44+AV44</f>
        <v>0</v>
      </c>
      <c r="AL44" s="30">
        <f>BB44</f>
        <v>0</v>
      </c>
      <c r="AM44" s="29">
        <f>AW44+AX44</f>
        <v>0</v>
      </c>
      <c r="AN44" s="50">
        <f>COUNTIF(B44:AF44,"休")</f>
        <v>0</v>
      </c>
      <c r="AO44" s="18">
        <f>COUNTIF($B44:$AF44,"C₁")</f>
        <v>0</v>
      </c>
      <c r="AP44" s="18">
        <f>COUNTIF($B44:$AF44,"C₂")</f>
        <v>0</v>
      </c>
      <c r="AQ44" s="18">
        <f>COUNTIF($B44:$AF44,"早₁")</f>
        <v>0</v>
      </c>
      <c r="AR44" s="18">
        <f>COUNTIF($B44:$AF44,"早₂")</f>
        <v>0</v>
      </c>
      <c r="AS44" s="18">
        <f>COUNTIF($B44:$AF44,"日₁")</f>
        <v>0</v>
      </c>
      <c r="AT44" s="18">
        <f>COUNTIF($B44:$AF44,"日₂")</f>
        <v>0</v>
      </c>
      <c r="AU44" s="18">
        <f>COUNTIF($B44:$AF44,"B₁")</f>
        <v>0</v>
      </c>
      <c r="AV44" s="18">
        <f>COUNTIF($B44:$AF44,"B₂")</f>
        <v>0</v>
      </c>
      <c r="AW44" s="18">
        <f>COUNTIF($B44:$AF44,"遅₁")</f>
        <v>0</v>
      </c>
      <c r="AX44" s="18">
        <f>COUNTIF($B44:$AF44,"遅₂")</f>
        <v>0</v>
      </c>
      <c r="AY44" s="18">
        <f>COUNTIF($B44:$AF44,$AY$3)</f>
        <v>0</v>
      </c>
      <c r="AZ44" s="18">
        <f>COUNTIF($B44:$AF44,"日₂B₂")</f>
        <v>0</v>
      </c>
      <c r="BA44" s="18">
        <f>COUNTIF($B44:$AF44,$BA$3)</f>
        <v>0</v>
      </c>
      <c r="BB44" s="18">
        <f>COUNTIF($B44:$AF44,#REF!)</f>
        <v>0</v>
      </c>
      <c r="BC44" s="18"/>
      <c r="BD44" s="18">
        <f>COUNTIF($B44:$AF44,#REF!)</f>
        <v>0</v>
      </c>
      <c r="BE44" s="57"/>
      <c r="BF44" s="18">
        <f>COUNTIF(B44:AF44,#REF!)</f>
        <v>0</v>
      </c>
      <c r="BG44" s="18">
        <f>COUNTIF(B44:AF44,#REF!)</f>
        <v>0</v>
      </c>
    </row>
    <row r="45" spans="1:95" ht="37.5" customHeight="1" x14ac:dyDescent="0.3">
      <c r="A45" s="66" t="s">
        <v>73</v>
      </c>
      <c r="B45" s="109" t="s">
        <v>87</v>
      </c>
      <c r="C45" s="109" t="s">
        <v>87</v>
      </c>
      <c r="D45" s="26"/>
      <c r="E45" s="109" t="s">
        <v>87</v>
      </c>
      <c r="F45" s="109" t="s">
        <v>87</v>
      </c>
      <c r="G45" s="26"/>
      <c r="H45" s="26"/>
      <c r="I45" s="109" t="s">
        <v>87</v>
      </c>
      <c r="J45" s="109" t="s">
        <v>87</v>
      </c>
      <c r="K45" s="26"/>
      <c r="L45" s="109" t="s">
        <v>87</v>
      </c>
      <c r="M45" s="109" t="s">
        <v>87</v>
      </c>
      <c r="N45" s="26"/>
      <c r="O45" s="26"/>
      <c r="P45" s="109" t="s">
        <v>87</v>
      </c>
      <c r="Q45" s="109" t="s">
        <v>87</v>
      </c>
      <c r="R45" s="26"/>
      <c r="S45" s="109" t="s">
        <v>87</v>
      </c>
      <c r="T45" s="109" t="s">
        <v>87</v>
      </c>
      <c r="U45" s="26"/>
      <c r="V45" s="26"/>
      <c r="W45" s="109" t="s">
        <v>87</v>
      </c>
      <c r="X45" s="109" t="s">
        <v>87</v>
      </c>
      <c r="Y45" s="26"/>
      <c r="Z45" s="109" t="s">
        <v>87</v>
      </c>
      <c r="AA45" s="109" t="s">
        <v>87</v>
      </c>
      <c r="AB45" s="26"/>
      <c r="AC45" s="26"/>
      <c r="AD45" s="109" t="s">
        <v>87</v>
      </c>
      <c r="AE45" s="109" t="s">
        <v>87</v>
      </c>
      <c r="AF45" s="26"/>
      <c r="AG45" s="24"/>
      <c r="AH45" s="29">
        <f>AO45+AP45+BC45</f>
        <v>0</v>
      </c>
      <c r="AI45" s="29">
        <f>AQ45+AR45+BG45+BF45</f>
        <v>0</v>
      </c>
      <c r="AJ45" s="29">
        <f>AS45+AT45</f>
        <v>0</v>
      </c>
      <c r="AK45" s="29">
        <f>AU45+AV45</f>
        <v>0</v>
      </c>
      <c r="AL45" s="30">
        <f>BB45</f>
        <v>0</v>
      </c>
      <c r="AM45" s="29">
        <f>AW45+AX45</f>
        <v>0</v>
      </c>
      <c r="AN45" s="50">
        <f>COUNTIF(B45:AF45,"休")</f>
        <v>18</v>
      </c>
      <c r="AO45" s="18">
        <f>COUNTIF($B45:$AF45,"C₁")</f>
        <v>0</v>
      </c>
      <c r="AP45" s="18">
        <f>COUNTIF($B45:$AF45,"C₂")</f>
        <v>0</v>
      </c>
      <c r="AQ45" s="18">
        <f>COUNTIF($B45:$AF45,"早₁")</f>
        <v>0</v>
      </c>
      <c r="AR45" s="18">
        <f>COUNTIF($B45:$AF45,"早₂")</f>
        <v>0</v>
      </c>
      <c r="AS45" s="18">
        <f>COUNTIF($B45:$AF45,"日₁")</f>
        <v>0</v>
      </c>
      <c r="AT45" s="18">
        <f>COUNTIF($B45:$AF45,"日₂")</f>
        <v>0</v>
      </c>
      <c r="AU45" s="18">
        <f>COUNTIF($B45:$AF45,"B₁")</f>
        <v>0</v>
      </c>
      <c r="AV45" s="18">
        <f>COUNTIF($B45:$AF45,"B₂")</f>
        <v>0</v>
      </c>
      <c r="AW45" s="18">
        <f>COUNTIF($B45:$AF45,"遅₁")</f>
        <v>0</v>
      </c>
      <c r="AX45" s="18">
        <f>COUNTIF($B45:$AF45,"遅₂")</f>
        <v>0</v>
      </c>
      <c r="AY45" s="18">
        <f>COUNTIF($B45:$AF45,$AY$3)</f>
        <v>0</v>
      </c>
      <c r="AZ45" s="18">
        <f>COUNTIF($B45:$AF45,"日₂B₂")</f>
        <v>0</v>
      </c>
      <c r="BA45" s="18">
        <f>COUNTIF($B45:$AF45,$BA$3)</f>
        <v>0</v>
      </c>
      <c r="BB45" s="18">
        <f>COUNTIF($B45:$AF45,#REF!)</f>
        <v>0</v>
      </c>
      <c r="BC45" s="18"/>
      <c r="BD45" s="18">
        <f>COUNTIF($B45:$AF45,#REF!)</f>
        <v>0</v>
      </c>
      <c r="BE45" s="57"/>
      <c r="BF45" s="18">
        <f>COUNTIF(B45:AF45,#REF!)</f>
        <v>0</v>
      </c>
      <c r="BG45" s="18">
        <f>COUNTIF(B45:AF45,#REF!)</f>
        <v>0</v>
      </c>
    </row>
    <row r="46" spans="1:95" ht="37.5" customHeight="1" x14ac:dyDescent="0.3">
      <c r="A46" s="67" t="s">
        <v>74</v>
      </c>
      <c r="B46" s="24"/>
      <c r="C46" s="24"/>
      <c r="D46" s="24"/>
      <c r="E46" s="24"/>
      <c r="F46" s="24"/>
      <c r="G46" s="56"/>
      <c r="H46" s="24"/>
      <c r="I46" s="24"/>
      <c r="J46" s="24"/>
      <c r="K46" s="24"/>
      <c r="L46" s="24"/>
      <c r="M46" s="24"/>
      <c r="N46" s="56"/>
      <c r="O46" s="24"/>
      <c r="P46" s="24"/>
      <c r="Q46" s="24"/>
      <c r="R46" s="24"/>
      <c r="S46" s="24"/>
      <c r="T46" s="24"/>
      <c r="U46" s="56"/>
      <c r="V46" s="24"/>
      <c r="W46" s="24"/>
      <c r="X46" s="24"/>
      <c r="Y46" s="24"/>
      <c r="Z46" s="24"/>
      <c r="AA46" s="24"/>
      <c r="AB46" s="56"/>
      <c r="AC46" s="24"/>
      <c r="AD46" s="24"/>
      <c r="AE46" s="24"/>
      <c r="AF46" s="24"/>
      <c r="AG46" s="24"/>
      <c r="AH46" s="29">
        <f>AO46+AP46+BC46</f>
        <v>0</v>
      </c>
      <c r="AI46" s="29">
        <f>AQ46+AR46+BG46+BF46</f>
        <v>0</v>
      </c>
      <c r="AJ46" s="29">
        <f>AS46+AT46</f>
        <v>0</v>
      </c>
      <c r="AK46" s="29">
        <f>AU46+AV46</f>
        <v>0</v>
      </c>
      <c r="AL46" s="30">
        <f>BB46</f>
        <v>0</v>
      </c>
      <c r="AM46" s="29">
        <f>AW46+AX46</f>
        <v>0</v>
      </c>
      <c r="AN46" s="50">
        <f>COUNTIF(B46:AF46,"休")</f>
        <v>0</v>
      </c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57"/>
      <c r="BF46" s="18"/>
      <c r="BG46" s="18"/>
    </row>
    <row r="47" spans="1:95" ht="37.5" customHeight="1" x14ac:dyDescent="0.3">
      <c r="A47" s="67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9">
        <f>AO47+AP47+BC47</f>
        <v>0</v>
      </c>
      <c r="AI47" s="29">
        <f>AQ47+AR47+BG47+BF47</f>
        <v>0</v>
      </c>
      <c r="AJ47" s="29">
        <f>AS47+AT47</f>
        <v>0</v>
      </c>
      <c r="AK47" s="29">
        <f>AU47+AV47</f>
        <v>0</v>
      </c>
      <c r="AL47" s="30">
        <f>BB47</f>
        <v>0</v>
      </c>
      <c r="AM47" s="29">
        <f>AW47+AX47</f>
        <v>0</v>
      </c>
      <c r="AN47" s="50">
        <f>COUNTIF(B47:AF47,"休")</f>
        <v>0</v>
      </c>
      <c r="AO47" s="18">
        <f>COUNTIF($B47:$AF47,"C₁")</f>
        <v>0</v>
      </c>
      <c r="AP47" s="18">
        <f>COUNTIF($B47:$AF47,"C₂")</f>
        <v>0</v>
      </c>
      <c r="AQ47" s="18">
        <f>COUNTIF($B47:$AF47,"早₁")</f>
        <v>0</v>
      </c>
      <c r="AR47" s="18">
        <f>COUNTIF($B47:$AF47,"早₂")</f>
        <v>0</v>
      </c>
      <c r="AS47" s="18">
        <f>COUNTIF($B47:$AF47,"日₁")</f>
        <v>0</v>
      </c>
      <c r="AT47" s="18">
        <f>COUNTIF($B47:$AF47,"日₂")</f>
        <v>0</v>
      </c>
      <c r="AU47" s="18">
        <f>COUNTIF($B47:$AF47,"B₁")</f>
        <v>0</v>
      </c>
      <c r="AV47" s="18">
        <f>COUNTIF($B47:$AF47,"B₂")</f>
        <v>0</v>
      </c>
      <c r="AW47" s="18">
        <f>COUNTIF($B47:$AF47,"遅₁")</f>
        <v>0</v>
      </c>
      <c r="AX47" s="18">
        <f>COUNTIF($B47:$AF47,"遅₂")</f>
        <v>0</v>
      </c>
      <c r="AY47" s="18">
        <f>COUNTIF($B47:$AF47,$AY$3)</f>
        <v>0</v>
      </c>
      <c r="AZ47" s="18">
        <f>COUNTIF($B47:$AF47,"日₂B₂")</f>
        <v>0</v>
      </c>
      <c r="BA47" s="18">
        <f>COUNTIF($B47:$AF47,$BA$3)</f>
        <v>0</v>
      </c>
      <c r="BB47" s="18">
        <f>COUNTIF($B47:$AF47,#REF!)</f>
        <v>0</v>
      </c>
      <c r="BC47" s="18"/>
      <c r="BD47" s="18">
        <f>COUNTIF($B47:$AF47,#REF!)</f>
        <v>0</v>
      </c>
      <c r="BE47" s="57"/>
      <c r="BF47" s="18">
        <f>COUNTIF(B47:AF47,#REF!)</f>
        <v>0</v>
      </c>
      <c r="BG47" s="18">
        <f>COUNTIF(B47:AF47,#REF!)</f>
        <v>0</v>
      </c>
      <c r="BM47" s="68"/>
      <c r="BN47" s="68"/>
      <c r="BO47" s="69"/>
      <c r="BP47" s="69"/>
      <c r="BQ47" s="70"/>
      <c r="BR47" s="69"/>
      <c r="BS47" s="69"/>
      <c r="BT47" s="69"/>
      <c r="BU47" s="70"/>
      <c r="BV47" s="69"/>
      <c r="BW47" s="69"/>
      <c r="BX47" s="69"/>
      <c r="BY47" s="69"/>
      <c r="BZ47" s="68"/>
      <c r="CA47" s="69"/>
      <c r="CB47" s="70"/>
      <c r="CC47" s="69"/>
      <c r="CD47" s="69"/>
      <c r="CE47" s="69"/>
      <c r="CF47" s="69"/>
      <c r="CG47" s="68"/>
      <c r="CH47" s="69"/>
      <c r="CI47" s="69"/>
      <c r="CJ47" s="69"/>
      <c r="CK47" s="69"/>
      <c r="CL47" s="69"/>
      <c r="CM47" s="68"/>
      <c r="CN47" s="69"/>
      <c r="CO47" s="69"/>
      <c r="CP47" s="70"/>
      <c r="CQ47" s="69"/>
    </row>
    <row r="48" spans="1:95" ht="37.5" customHeight="1" x14ac:dyDescent="0.35">
      <c r="A48" s="71"/>
      <c r="B48" s="72"/>
      <c r="C48" s="73"/>
      <c r="D48" s="73"/>
      <c r="E48" s="73"/>
      <c r="F48" s="73"/>
      <c r="G48" s="73"/>
      <c r="H48" s="25"/>
      <c r="I48" s="25"/>
      <c r="J48" s="25"/>
      <c r="K48" s="26"/>
      <c r="L48" s="26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  <c r="AG48" s="74" t="s">
        <v>75</v>
      </c>
      <c r="AH48" s="74" t="s">
        <v>76</v>
      </c>
      <c r="AI48" s="74" t="s">
        <v>77</v>
      </c>
      <c r="AJ48" s="74" t="s">
        <v>78</v>
      </c>
      <c r="AK48" s="74" t="s">
        <v>79</v>
      </c>
      <c r="AL48" s="74" t="s">
        <v>80</v>
      </c>
      <c r="AM48" s="75" t="s">
        <v>81</v>
      </c>
      <c r="AN48" s="75" t="s">
        <v>82</v>
      </c>
      <c r="AO48" s="18">
        <f>COUNTIF($B48:$AF48,"C₁")</f>
        <v>0</v>
      </c>
      <c r="AP48" s="18">
        <f>COUNTIF($B48:$AF48,"C₂")</f>
        <v>0</v>
      </c>
      <c r="AQ48" s="18">
        <f>COUNTIF($B48:$AF48,"早₁")</f>
        <v>0</v>
      </c>
      <c r="AR48" s="18">
        <f>COUNTIF($B48:$AF48,"早₂")</f>
        <v>0</v>
      </c>
      <c r="AS48" s="18">
        <f>COUNTIF($B48:$AF48,"日₁")</f>
        <v>0</v>
      </c>
      <c r="AT48" s="18">
        <f>COUNTIF($B48:$AF48,"日₂")</f>
        <v>0</v>
      </c>
      <c r="AU48" s="18">
        <f>COUNTIF($B48:$AF48,"B₁")</f>
        <v>0</v>
      </c>
      <c r="AV48" s="18">
        <f>COUNTIF($B48:$AF48,"B₂")</f>
        <v>0</v>
      </c>
      <c r="AW48" s="18">
        <f>COUNTIF($B48:$AF48,"遅₁")</f>
        <v>0</v>
      </c>
      <c r="AX48" s="18">
        <f>COUNTIF($B48:$AF48,"遅₂")</f>
        <v>0</v>
      </c>
      <c r="AY48" s="18">
        <f>COUNTIF($B48:$AF48,$AY$3)</f>
        <v>0</v>
      </c>
      <c r="AZ48" s="18">
        <f>COUNTIF($B48:$AF48,"日₂B₂")</f>
        <v>0</v>
      </c>
      <c r="BA48" s="18">
        <f>COUNTIF($B48:$AF48,$BA$3)</f>
        <v>0</v>
      </c>
      <c r="BB48" s="18">
        <f>COUNTIF($B48:$AF48,#REF!)</f>
        <v>0</v>
      </c>
      <c r="BC48" s="18"/>
      <c r="BD48" s="18">
        <f>COUNTIF($B48:$AF48,#REF!)</f>
        <v>0</v>
      </c>
      <c r="BE48" s="18"/>
      <c r="BF48" s="18">
        <f>COUNTIF(B48:AF48,#REF!)</f>
        <v>0</v>
      </c>
      <c r="BG48" s="18">
        <f>COUNTIF(B48:AF48,#REF!)</f>
        <v>0</v>
      </c>
    </row>
    <row r="49" spans="1:64" ht="37.5" customHeight="1" x14ac:dyDescent="0.4">
      <c r="A49" s="76" t="s">
        <v>83</v>
      </c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77"/>
      <c r="AH49" s="29"/>
      <c r="AI49" s="28"/>
      <c r="AJ49" s="29"/>
      <c r="AK49" s="29"/>
      <c r="AL49" s="29"/>
      <c r="AM49" s="29"/>
      <c r="AN49" s="24"/>
      <c r="AO49" s="18">
        <f>COUNTIF($B49:$AF49,"C₁")</f>
        <v>0</v>
      </c>
      <c r="AP49" s="18">
        <f>COUNTIF($B49:$AF49,"C₂")</f>
        <v>0</v>
      </c>
      <c r="AQ49" s="18">
        <f>COUNTIF($B49:$AF49,"早₁")</f>
        <v>0</v>
      </c>
      <c r="AR49" s="18">
        <f>COUNTIF($B49:$AF49,"早₂")</f>
        <v>0</v>
      </c>
      <c r="AS49" s="18">
        <f>COUNTIF($B49:$AF49,"日₁")</f>
        <v>0</v>
      </c>
      <c r="AT49" s="18">
        <f>COUNTIF($B49:$AF49,"日₂")</f>
        <v>0</v>
      </c>
      <c r="AU49" s="18">
        <f>COUNTIF($B49:$AF49,"B₁")</f>
        <v>0</v>
      </c>
      <c r="AV49" s="18">
        <f>COUNTIF($B49:$AF49,"B₂")</f>
        <v>0</v>
      </c>
      <c r="AW49" s="18">
        <f>COUNTIF($B49:$AF49,"遅₁")</f>
        <v>0</v>
      </c>
      <c r="AX49" s="18">
        <f>COUNTIF($B49:$AF49,"遅₂")</f>
        <v>0</v>
      </c>
      <c r="AY49" s="18">
        <f>COUNTIF($B49:$AF49,$AY$3)</f>
        <v>0</v>
      </c>
      <c r="AZ49" s="18">
        <f>COUNTIF($B49:$AF49,"日₂B₂")</f>
        <v>0</v>
      </c>
      <c r="BA49" s="18">
        <f>COUNTIF($B49:$AF49,$BA$3)</f>
        <v>0</v>
      </c>
      <c r="BB49" s="18">
        <f>COUNTIF($B49:$AF49,#REF!)</f>
        <v>0</v>
      </c>
      <c r="BC49" s="18"/>
      <c r="BD49" s="18">
        <f>COUNTIF($B49:$AF49,#REF!)</f>
        <v>0</v>
      </c>
      <c r="BE49" s="18"/>
      <c r="BF49" s="18">
        <f>COUNTIF(B49:AF49,#REF!)</f>
        <v>0</v>
      </c>
      <c r="BG49" s="18">
        <f>COUNTIF(B49:AF49,#REF!)</f>
        <v>0</v>
      </c>
    </row>
    <row r="50" spans="1:64" ht="25.5" customHeight="1" x14ac:dyDescent="0.2">
      <c r="A50" s="78"/>
      <c r="B50" s="79"/>
      <c r="D50" s="80"/>
      <c r="E50" s="81"/>
      <c r="G50" s="79"/>
      <c r="H50" s="81"/>
      <c r="I50" s="79"/>
      <c r="J50" s="80"/>
      <c r="K50" s="81"/>
      <c r="L50" s="81"/>
      <c r="M50" s="79"/>
      <c r="N50" s="79"/>
      <c r="O50" s="81"/>
      <c r="P50" s="79"/>
      <c r="Q50" s="79"/>
      <c r="R50" s="81"/>
      <c r="S50" s="81"/>
      <c r="T50" s="79"/>
      <c r="U50" s="79"/>
      <c r="V50" s="81"/>
      <c r="W50" s="79"/>
      <c r="X50" s="79"/>
      <c r="Y50" s="81"/>
      <c r="Z50" s="81"/>
      <c r="AA50" s="79"/>
      <c r="AB50" s="79"/>
      <c r="AC50" s="81"/>
      <c r="AD50" s="81"/>
      <c r="AE50" s="8"/>
      <c r="AF50" s="1"/>
      <c r="AG50" s="1"/>
      <c r="AH50" s="8"/>
      <c r="AI50" s="8"/>
      <c r="AJ50" s="8"/>
      <c r="AK50" s="8"/>
      <c r="AL50" s="8"/>
      <c r="AM50" s="8"/>
      <c r="AN50" s="82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</row>
    <row r="51" spans="1:64" ht="16.2" x14ac:dyDescent="0.2">
      <c r="A51" s="83"/>
      <c r="B51" s="80"/>
      <c r="E51" s="80"/>
      <c r="G51" s="80"/>
      <c r="H51" s="80"/>
      <c r="I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  <c r="AB51" s="80"/>
      <c r="AC51" s="80"/>
      <c r="AD51" s="80"/>
      <c r="AF51" s="8"/>
      <c r="AG51" s="8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</row>
    <row r="52" spans="1:64" ht="32.25" customHeight="1" x14ac:dyDescent="0.35">
      <c r="A52" s="84" t="s">
        <v>20</v>
      </c>
      <c r="B52" s="85">
        <f t="shared" ref="B52:AF52" si="32">COUNTIF(B4:B38,"1-1")</f>
        <v>2</v>
      </c>
      <c r="C52" s="85">
        <f t="shared" si="32"/>
        <v>2</v>
      </c>
      <c r="D52" s="85">
        <f t="shared" si="32"/>
        <v>2</v>
      </c>
      <c r="E52" s="85">
        <f t="shared" si="32"/>
        <v>2</v>
      </c>
      <c r="F52" s="85">
        <f t="shared" si="32"/>
        <v>1</v>
      </c>
      <c r="G52" s="85">
        <f t="shared" si="32"/>
        <v>2</v>
      </c>
      <c r="H52" s="85">
        <f t="shared" si="32"/>
        <v>2</v>
      </c>
      <c r="I52" s="85">
        <f t="shared" si="32"/>
        <v>1</v>
      </c>
      <c r="J52" s="85">
        <f t="shared" si="32"/>
        <v>2</v>
      </c>
      <c r="K52" s="85">
        <f t="shared" si="32"/>
        <v>1</v>
      </c>
      <c r="L52" s="85">
        <f t="shared" si="32"/>
        <v>2</v>
      </c>
      <c r="M52" s="85">
        <f t="shared" si="32"/>
        <v>2</v>
      </c>
      <c r="N52" s="85">
        <f t="shared" si="32"/>
        <v>1</v>
      </c>
      <c r="O52" s="85">
        <f t="shared" si="32"/>
        <v>2</v>
      </c>
      <c r="P52" s="85">
        <f t="shared" si="32"/>
        <v>2</v>
      </c>
      <c r="Q52" s="85">
        <f t="shared" si="32"/>
        <v>2</v>
      </c>
      <c r="R52" s="85">
        <f t="shared" si="32"/>
        <v>2</v>
      </c>
      <c r="S52" s="85">
        <f t="shared" si="32"/>
        <v>2</v>
      </c>
      <c r="T52" s="85">
        <f t="shared" si="32"/>
        <v>2</v>
      </c>
      <c r="U52" s="85">
        <f t="shared" si="32"/>
        <v>2</v>
      </c>
      <c r="V52" s="85">
        <f t="shared" si="32"/>
        <v>2</v>
      </c>
      <c r="W52" s="85">
        <f t="shared" si="32"/>
        <v>1</v>
      </c>
      <c r="X52" s="85">
        <f t="shared" si="32"/>
        <v>2</v>
      </c>
      <c r="Y52" s="85">
        <f t="shared" si="32"/>
        <v>2</v>
      </c>
      <c r="Z52" s="85">
        <f t="shared" si="32"/>
        <v>2</v>
      </c>
      <c r="AA52" s="85">
        <f t="shared" si="32"/>
        <v>1</v>
      </c>
      <c r="AB52" s="85">
        <f t="shared" si="32"/>
        <v>2</v>
      </c>
      <c r="AC52" s="85">
        <f t="shared" si="32"/>
        <v>2</v>
      </c>
      <c r="AD52" s="85">
        <f t="shared" si="32"/>
        <v>2</v>
      </c>
      <c r="AE52" s="85">
        <f t="shared" si="32"/>
        <v>2</v>
      </c>
      <c r="AF52" s="85">
        <f t="shared" si="32"/>
        <v>2</v>
      </c>
      <c r="AG52" s="85"/>
      <c r="AH52" s="86"/>
      <c r="AI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</row>
    <row r="53" spans="1:64" ht="32.25" customHeight="1" x14ac:dyDescent="0.35">
      <c r="A53" s="87">
        <v>1</v>
      </c>
      <c r="B53" s="88">
        <f t="shared" ref="B53:AF53" si="33">COUNTIF(B4:B38,"1")</f>
        <v>1</v>
      </c>
      <c r="C53" s="88">
        <f t="shared" si="33"/>
        <v>1</v>
      </c>
      <c r="D53" s="88">
        <f t="shared" si="33"/>
        <v>1</v>
      </c>
      <c r="E53" s="88">
        <f t="shared" si="33"/>
        <v>1</v>
      </c>
      <c r="F53" s="88">
        <f t="shared" si="33"/>
        <v>1</v>
      </c>
      <c r="G53" s="88">
        <f t="shared" si="33"/>
        <v>1</v>
      </c>
      <c r="H53" s="88">
        <f t="shared" si="33"/>
        <v>1</v>
      </c>
      <c r="I53" s="88">
        <f t="shared" si="33"/>
        <v>1</v>
      </c>
      <c r="J53" s="88">
        <f t="shared" si="33"/>
        <v>1</v>
      </c>
      <c r="K53" s="88">
        <f t="shared" si="33"/>
        <v>1</v>
      </c>
      <c r="L53" s="88">
        <f t="shared" si="33"/>
        <v>1</v>
      </c>
      <c r="M53" s="88">
        <f t="shared" si="33"/>
        <v>1</v>
      </c>
      <c r="N53" s="88">
        <f t="shared" si="33"/>
        <v>1</v>
      </c>
      <c r="O53" s="88">
        <f t="shared" si="33"/>
        <v>1</v>
      </c>
      <c r="P53" s="88">
        <f t="shared" si="33"/>
        <v>1</v>
      </c>
      <c r="Q53" s="88">
        <f t="shared" si="33"/>
        <v>1</v>
      </c>
      <c r="R53" s="88">
        <f t="shared" si="33"/>
        <v>1</v>
      </c>
      <c r="S53" s="88">
        <f t="shared" si="33"/>
        <v>1</v>
      </c>
      <c r="T53" s="88">
        <f t="shared" si="33"/>
        <v>1</v>
      </c>
      <c r="U53" s="88">
        <f t="shared" si="33"/>
        <v>1</v>
      </c>
      <c r="V53" s="88">
        <f t="shared" si="33"/>
        <v>1</v>
      </c>
      <c r="W53" s="88">
        <f t="shared" si="33"/>
        <v>1</v>
      </c>
      <c r="X53" s="88">
        <f t="shared" si="33"/>
        <v>1</v>
      </c>
      <c r="Y53" s="88">
        <f t="shared" si="33"/>
        <v>1</v>
      </c>
      <c r="Z53" s="88">
        <f t="shared" si="33"/>
        <v>1</v>
      </c>
      <c r="AA53" s="88">
        <f t="shared" si="33"/>
        <v>1</v>
      </c>
      <c r="AB53" s="88">
        <f t="shared" si="33"/>
        <v>1</v>
      </c>
      <c r="AC53" s="88">
        <f t="shared" si="33"/>
        <v>1</v>
      </c>
      <c r="AD53" s="88">
        <f t="shared" si="33"/>
        <v>1</v>
      </c>
      <c r="AE53" s="88">
        <f t="shared" si="33"/>
        <v>1</v>
      </c>
      <c r="AF53" s="88">
        <f t="shared" si="33"/>
        <v>1</v>
      </c>
      <c r="AG53" s="88"/>
      <c r="AH53" s="86"/>
      <c r="AI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</row>
    <row r="54" spans="1:64" ht="32.25" customHeight="1" x14ac:dyDescent="0.35">
      <c r="A54" s="89" t="s">
        <v>21</v>
      </c>
      <c r="B54" s="90">
        <f t="shared" ref="B54:AF54" si="34">COUNTIF(B4:B38,"1-2")</f>
        <v>0</v>
      </c>
      <c r="C54" s="90">
        <f t="shared" si="34"/>
        <v>0</v>
      </c>
      <c r="D54" s="90">
        <f t="shared" si="34"/>
        <v>0</v>
      </c>
      <c r="E54" s="90">
        <f t="shared" si="34"/>
        <v>0</v>
      </c>
      <c r="F54" s="90">
        <f t="shared" si="34"/>
        <v>1</v>
      </c>
      <c r="G54" s="90">
        <f t="shared" si="34"/>
        <v>1</v>
      </c>
      <c r="H54" s="90">
        <f t="shared" si="34"/>
        <v>1</v>
      </c>
      <c r="I54" s="90">
        <f t="shared" si="34"/>
        <v>1</v>
      </c>
      <c r="J54" s="90">
        <f t="shared" si="34"/>
        <v>0</v>
      </c>
      <c r="K54" s="90">
        <f t="shared" si="34"/>
        <v>1</v>
      </c>
      <c r="L54" s="90">
        <f t="shared" si="34"/>
        <v>0</v>
      </c>
      <c r="M54" s="90">
        <f t="shared" si="34"/>
        <v>0</v>
      </c>
      <c r="N54" s="90">
        <f t="shared" si="34"/>
        <v>1</v>
      </c>
      <c r="O54" s="90">
        <f t="shared" si="34"/>
        <v>1</v>
      </c>
      <c r="P54" s="90">
        <f t="shared" si="34"/>
        <v>0</v>
      </c>
      <c r="Q54" s="90">
        <f t="shared" si="34"/>
        <v>0</v>
      </c>
      <c r="R54" s="90">
        <f t="shared" si="34"/>
        <v>0</v>
      </c>
      <c r="S54" s="90">
        <f t="shared" si="34"/>
        <v>0</v>
      </c>
      <c r="T54" s="90">
        <f t="shared" si="34"/>
        <v>0</v>
      </c>
      <c r="U54" s="90">
        <f t="shared" si="34"/>
        <v>0</v>
      </c>
      <c r="V54" s="90">
        <f t="shared" si="34"/>
        <v>0</v>
      </c>
      <c r="W54" s="90">
        <f t="shared" si="34"/>
        <v>1</v>
      </c>
      <c r="X54" s="90">
        <f t="shared" si="34"/>
        <v>0</v>
      </c>
      <c r="Y54" s="90">
        <f t="shared" si="34"/>
        <v>0</v>
      </c>
      <c r="Z54" s="90">
        <f t="shared" si="34"/>
        <v>0</v>
      </c>
      <c r="AA54" s="90">
        <f t="shared" si="34"/>
        <v>1</v>
      </c>
      <c r="AB54" s="90">
        <f t="shared" si="34"/>
        <v>0</v>
      </c>
      <c r="AC54" s="90">
        <f t="shared" si="34"/>
        <v>0</v>
      </c>
      <c r="AD54" s="90">
        <f t="shared" si="34"/>
        <v>0</v>
      </c>
      <c r="AE54" s="90">
        <f t="shared" si="34"/>
        <v>0</v>
      </c>
      <c r="AF54" s="90">
        <f t="shared" si="34"/>
        <v>0</v>
      </c>
      <c r="AG54" s="90"/>
      <c r="AH54" s="1"/>
      <c r="AI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</row>
    <row r="55" spans="1:64" ht="32.25" customHeight="1" x14ac:dyDescent="0.35">
      <c r="A55" s="91">
        <v>2</v>
      </c>
      <c r="B55" s="92">
        <f t="shared" ref="B55:AF55" si="35">COUNTIF(B4:B38,"2")</f>
        <v>1</v>
      </c>
      <c r="C55" s="92">
        <f t="shared" si="35"/>
        <v>1</v>
      </c>
      <c r="D55" s="92">
        <f t="shared" si="35"/>
        <v>1</v>
      </c>
      <c r="E55" s="92">
        <f t="shared" si="35"/>
        <v>1</v>
      </c>
      <c r="F55" s="92">
        <f t="shared" si="35"/>
        <v>1</v>
      </c>
      <c r="G55" s="92">
        <f t="shared" si="35"/>
        <v>1</v>
      </c>
      <c r="H55" s="92">
        <f t="shared" si="35"/>
        <v>1</v>
      </c>
      <c r="I55" s="92">
        <f t="shared" si="35"/>
        <v>1</v>
      </c>
      <c r="J55" s="92">
        <f t="shared" si="35"/>
        <v>1</v>
      </c>
      <c r="K55" s="92">
        <f t="shared" si="35"/>
        <v>1</v>
      </c>
      <c r="L55" s="92">
        <f t="shared" si="35"/>
        <v>1</v>
      </c>
      <c r="M55" s="92">
        <f t="shared" si="35"/>
        <v>1</v>
      </c>
      <c r="N55" s="92">
        <f t="shared" si="35"/>
        <v>1</v>
      </c>
      <c r="O55" s="92">
        <f t="shared" si="35"/>
        <v>1</v>
      </c>
      <c r="P55" s="92">
        <f t="shared" si="35"/>
        <v>1</v>
      </c>
      <c r="Q55" s="92">
        <f t="shared" si="35"/>
        <v>1</v>
      </c>
      <c r="R55" s="92">
        <f t="shared" si="35"/>
        <v>1</v>
      </c>
      <c r="S55" s="92">
        <f t="shared" si="35"/>
        <v>1</v>
      </c>
      <c r="T55" s="92">
        <f t="shared" si="35"/>
        <v>1</v>
      </c>
      <c r="U55" s="92">
        <f t="shared" si="35"/>
        <v>1</v>
      </c>
      <c r="V55" s="92">
        <f t="shared" si="35"/>
        <v>1</v>
      </c>
      <c r="W55" s="92">
        <f t="shared" si="35"/>
        <v>1</v>
      </c>
      <c r="X55" s="92">
        <f t="shared" si="35"/>
        <v>1</v>
      </c>
      <c r="Y55" s="92">
        <f t="shared" si="35"/>
        <v>1</v>
      </c>
      <c r="Z55" s="92">
        <f t="shared" si="35"/>
        <v>1</v>
      </c>
      <c r="AA55" s="92">
        <f t="shared" si="35"/>
        <v>1</v>
      </c>
      <c r="AB55" s="92">
        <f t="shared" si="35"/>
        <v>1</v>
      </c>
      <c r="AC55" s="92">
        <f t="shared" si="35"/>
        <v>1</v>
      </c>
      <c r="AD55" s="92">
        <f t="shared" si="35"/>
        <v>1</v>
      </c>
      <c r="AE55" s="92">
        <f t="shared" si="35"/>
        <v>1</v>
      </c>
      <c r="AF55" s="92">
        <f t="shared" si="35"/>
        <v>1</v>
      </c>
      <c r="AG55" s="92"/>
      <c r="AH55" s="1"/>
      <c r="AI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</row>
    <row r="56" spans="1:64" ht="32.25" customHeight="1" x14ac:dyDescent="0.35">
      <c r="A56" s="93" t="s">
        <v>22</v>
      </c>
      <c r="B56" s="94">
        <f t="shared" ref="B56:AF56" si="36">COUNTIF(B4:B38,"1-3")</f>
        <v>1</v>
      </c>
      <c r="C56" s="94">
        <f t="shared" si="36"/>
        <v>0</v>
      </c>
      <c r="D56" s="94">
        <f t="shared" si="36"/>
        <v>2</v>
      </c>
      <c r="E56" s="94">
        <f t="shared" si="36"/>
        <v>2</v>
      </c>
      <c r="F56" s="94">
        <f t="shared" si="36"/>
        <v>1</v>
      </c>
      <c r="G56" s="94">
        <f t="shared" si="36"/>
        <v>1</v>
      </c>
      <c r="H56" s="94">
        <f t="shared" si="36"/>
        <v>1</v>
      </c>
      <c r="I56" s="94">
        <f t="shared" si="36"/>
        <v>1</v>
      </c>
      <c r="J56" s="94">
        <f t="shared" si="36"/>
        <v>1</v>
      </c>
      <c r="K56" s="94">
        <f t="shared" si="36"/>
        <v>1</v>
      </c>
      <c r="L56" s="94">
        <f t="shared" si="36"/>
        <v>2</v>
      </c>
      <c r="M56" s="94">
        <f t="shared" si="36"/>
        <v>1</v>
      </c>
      <c r="N56" s="94">
        <f t="shared" si="36"/>
        <v>1</v>
      </c>
      <c r="O56" s="94">
        <f t="shared" si="36"/>
        <v>1</v>
      </c>
      <c r="P56" s="94">
        <f t="shared" si="36"/>
        <v>1</v>
      </c>
      <c r="Q56" s="94">
        <f t="shared" si="36"/>
        <v>1</v>
      </c>
      <c r="R56" s="94">
        <f t="shared" si="36"/>
        <v>1</v>
      </c>
      <c r="S56" s="94">
        <f t="shared" si="36"/>
        <v>1</v>
      </c>
      <c r="T56" s="94">
        <f t="shared" si="36"/>
        <v>1</v>
      </c>
      <c r="U56" s="94">
        <f t="shared" si="36"/>
        <v>1</v>
      </c>
      <c r="V56" s="94">
        <f t="shared" si="36"/>
        <v>1</v>
      </c>
      <c r="W56" s="94">
        <f t="shared" si="36"/>
        <v>1</v>
      </c>
      <c r="X56" s="94">
        <f t="shared" si="36"/>
        <v>1</v>
      </c>
      <c r="Y56" s="94">
        <f t="shared" si="36"/>
        <v>0</v>
      </c>
      <c r="Z56" s="94">
        <f t="shared" si="36"/>
        <v>1</v>
      </c>
      <c r="AA56" s="94">
        <f t="shared" si="36"/>
        <v>1</v>
      </c>
      <c r="AB56" s="94">
        <f t="shared" si="36"/>
        <v>1</v>
      </c>
      <c r="AC56" s="94">
        <f t="shared" si="36"/>
        <v>1</v>
      </c>
      <c r="AD56" s="94">
        <f t="shared" si="36"/>
        <v>1</v>
      </c>
      <c r="AE56" s="94">
        <f t="shared" si="36"/>
        <v>1</v>
      </c>
      <c r="AF56" s="94">
        <f t="shared" si="36"/>
        <v>0</v>
      </c>
      <c r="AG56" s="94"/>
      <c r="AH56" s="1"/>
      <c r="AI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</row>
    <row r="57" spans="1:64" ht="32.25" customHeight="1" x14ac:dyDescent="0.35">
      <c r="A57" s="95">
        <v>3</v>
      </c>
      <c r="B57" s="96">
        <f t="shared" ref="B57:AF57" si="37">COUNTIF(B4:B38,"3")</f>
        <v>2</v>
      </c>
      <c r="C57" s="96">
        <f t="shared" si="37"/>
        <v>2</v>
      </c>
      <c r="D57" s="96">
        <f t="shared" si="37"/>
        <v>2</v>
      </c>
      <c r="E57" s="96">
        <f t="shared" si="37"/>
        <v>2</v>
      </c>
      <c r="F57" s="96">
        <f t="shared" si="37"/>
        <v>1</v>
      </c>
      <c r="G57" s="96">
        <f t="shared" si="37"/>
        <v>2</v>
      </c>
      <c r="H57" s="96">
        <f t="shared" si="37"/>
        <v>2</v>
      </c>
      <c r="I57" s="96">
        <f t="shared" si="37"/>
        <v>2</v>
      </c>
      <c r="J57" s="96">
        <f t="shared" si="37"/>
        <v>1</v>
      </c>
      <c r="K57" s="96">
        <f t="shared" si="37"/>
        <v>2</v>
      </c>
      <c r="L57" s="96">
        <f t="shared" si="37"/>
        <v>2</v>
      </c>
      <c r="M57" s="96">
        <f t="shared" si="37"/>
        <v>1</v>
      </c>
      <c r="N57" s="96">
        <f t="shared" si="37"/>
        <v>1</v>
      </c>
      <c r="O57" s="96">
        <f t="shared" si="37"/>
        <v>1</v>
      </c>
      <c r="P57" s="96">
        <f t="shared" si="37"/>
        <v>1</v>
      </c>
      <c r="Q57" s="96">
        <f t="shared" si="37"/>
        <v>2</v>
      </c>
      <c r="R57" s="96">
        <f t="shared" si="37"/>
        <v>1</v>
      </c>
      <c r="S57" s="96">
        <f t="shared" si="37"/>
        <v>1</v>
      </c>
      <c r="T57" s="96">
        <f t="shared" si="37"/>
        <v>1</v>
      </c>
      <c r="U57" s="96">
        <f t="shared" si="37"/>
        <v>1</v>
      </c>
      <c r="V57" s="96">
        <f t="shared" si="37"/>
        <v>1</v>
      </c>
      <c r="W57" s="96">
        <f t="shared" si="37"/>
        <v>1</v>
      </c>
      <c r="X57" s="96">
        <f t="shared" si="37"/>
        <v>1</v>
      </c>
      <c r="Y57" s="96">
        <f t="shared" si="37"/>
        <v>1</v>
      </c>
      <c r="Z57" s="96">
        <f t="shared" si="37"/>
        <v>1</v>
      </c>
      <c r="AA57" s="96">
        <f t="shared" si="37"/>
        <v>1</v>
      </c>
      <c r="AB57" s="96">
        <f t="shared" si="37"/>
        <v>1</v>
      </c>
      <c r="AC57" s="96">
        <f t="shared" si="37"/>
        <v>1</v>
      </c>
      <c r="AD57" s="96">
        <f t="shared" si="37"/>
        <v>1</v>
      </c>
      <c r="AE57" s="96">
        <f t="shared" si="37"/>
        <v>1</v>
      </c>
      <c r="AF57" s="96">
        <f t="shared" si="37"/>
        <v>1</v>
      </c>
      <c r="AG57" s="96"/>
      <c r="AH57" s="1"/>
      <c r="AI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</row>
    <row r="58" spans="1:64" ht="32.25" customHeight="1" x14ac:dyDescent="0.35">
      <c r="A58" s="97" t="s">
        <v>23</v>
      </c>
      <c r="B58" s="98">
        <f t="shared" ref="B58:AF58" si="38">COUNTIF(B4:B38,"1-4")</f>
        <v>1</v>
      </c>
      <c r="C58" s="98">
        <f t="shared" si="38"/>
        <v>1</v>
      </c>
      <c r="D58" s="98">
        <f t="shared" si="38"/>
        <v>1</v>
      </c>
      <c r="E58" s="98">
        <f t="shared" si="38"/>
        <v>2</v>
      </c>
      <c r="F58" s="98">
        <f t="shared" si="38"/>
        <v>1</v>
      </c>
      <c r="G58" s="98">
        <f t="shared" si="38"/>
        <v>1</v>
      </c>
      <c r="H58" s="98">
        <f t="shared" si="38"/>
        <v>1</v>
      </c>
      <c r="I58" s="98">
        <f t="shared" si="38"/>
        <v>1</v>
      </c>
      <c r="J58" s="98">
        <f t="shared" si="38"/>
        <v>2</v>
      </c>
      <c r="K58" s="98">
        <f t="shared" si="38"/>
        <v>1</v>
      </c>
      <c r="L58" s="98">
        <f t="shared" si="38"/>
        <v>1</v>
      </c>
      <c r="M58" s="98">
        <f t="shared" si="38"/>
        <v>2</v>
      </c>
      <c r="N58" s="98">
        <f t="shared" si="38"/>
        <v>1</v>
      </c>
      <c r="O58" s="98">
        <f t="shared" si="38"/>
        <v>1</v>
      </c>
      <c r="P58" s="98">
        <f t="shared" si="38"/>
        <v>1</v>
      </c>
      <c r="Q58" s="98">
        <f t="shared" si="38"/>
        <v>1</v>
      </c>
      <c r="R58" s="98">
        <f t="shared" si="38"/>
        <v>1</v>
      </c>
      <c r="S58" s="98">
        <f t="shared" si="38"/>
        <v>1</v>
      </c>
      <c r="T58" s="98">
        <f t="shared" si="38"/>
        <v>1</v>
      </c>
      <c r="U58" s="98">
        <f t="shared" si="38"/>
        <v>1</v>
      </c>
      <c r="V58" s="98">
        <f t="shared" si="38"/>
        <v>2</v>
      </c>
      <c r="W58" s="98">
        <f t="shared" si="38"/>
        <v>1</v>
      </c>
      <c r="X58" s="98">
        <f t="shared" si="38"/>
        <v>1</v>
      </c>
      <c r="Y58" s="98">
        <f t="shared" si="38"/>
        <v>1</v>
      </c>
      <c r="Z58" s="98">
        <f t="shared" si="38"/>
        <v>2</v>
      </c>
      <c r="AA58" s="98">
        <f t="shared" si="38"/>
        <v>1</v>
      </c>
      <c r="AB58" s="98">
        <f t="shared" si="38"/>
        <v>1</v>
      </c>
      <c r="AC58" s="98">
        <f t="shared" si="38"/>
        <v>1</v>
      </c>
      <c r="AD58" s="98">
        <f t="shared" si="38"/>
        <v>1</v>
      </c>
      <c r="AE58" s="98">
        <f t="shared" si="38"/>
        <v>1</v>
      </c>
      <c r="AF58" s="98">
        <f t="shared" si="38"/>
        <v>2</v>
      </c>
      <c r="AG58" s="98"/>
      <c r="AH58" s="1"/>
      <c r="AI58" s="1"/>
      <c r="AJ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</row>
    <row r="59" spans="1:64" ht="32.25" customHeight="1" x14ac:dyDescent="0.35">
      <c r="A59" s="99">
        <v>4</v>
      </c>
      <c r="B59" s="85">
        <f t="shared" ref="B59:AF59" si="39">COUNTIF(B4:B38,"4")</f>
        <v>2</v>
      </c>
      <c r="C59" s="85">
        <f t="shared" si="39"/>
        <v>2</v>
      </c>
      <c r="D59" s="85">
        <f t="shared" si="39"/>
        <v>2</v>
      </c>
      <c r="E59" s="85">
        <f t="shared" si="39"/>
        <v>2</v>
      </c>
      <c r="F59" s="85">
        <f t="shared" si="39"/>
        <v>2</v>
      </c>
      <c r="G59" s="85">
        <f t="shared" si="39"/>
        <v>2</v>
      </c>
      <c r="H59" s="85">
        <f t="shared" si="39"/>
        <v>2</v>
      </c>
      <c r="I59" s="85">
        <f t="shared" si="39"/>
        <v>2</v>
      </c>
      <c r="J59" s="85">
        <f t="shared" si="39"/>
        <v>2</v>
      </c>
      <c r="K59" s="85">
        <f t="shared" si="39"/>
        <v>2</v>
      </c>
      <c r="L59" s="85">
        <f t="shared" si="39"/>
        <v>2</v>
      </c>
      <c r="M59" s="85">
        <f t="shared" si="39"/>
        <v>2</v>
      </c>
      <c r="N59" s="85">
        <f t="shared" si="39"/>
        <v>2</v>
      </c>
      <c r="O59" s="85">
        <f t="shared" si="39"/>
        <v>3</v>
      </c>
      <c r="P59" s="85">
        <f t="shared" si="39"/>
        <v>3</v>
      </c>
      <c r="Q59" s="85">
        <f t="shared" si="39"/>
        <v>2</v>
      </c>
      <c r="R59" s="85">
        <f t="shared" si="39"/>
        <v>3</v>
      </c>
      <c r="S59" s="85">
        <f t="shared" si="39"/>
        <v>3</v>
      </c>
      <c r="T59" s="85">
        <f t="shared" si="39"/>
        <v>2</v>
      </c>
      <c r="U59" s="85">
        <f t="shared" si="39"/>
        <v>2</v>
      </c>
      <c r="V59" s="85">
        <f t="shared" si="39"/>
        <v>2</v>
      </c>
      <c r="W59" s="85">
        <f t="shared" si="39"/>
        <v>2</v>
      </c>
      <c r="X59" s="85">
        <f t="shared" si="39"/>
        <v>3</v>
      </c>
      <c r="Y59" s="85">
        <f t="shared" si="39"/>
        <v>2</v>
      </c>
      <c r="Z59" s="85">
        <f t="shared" si="39"/>
        <v>3</v>
      </c>
      <c r="AA59" s="85">
        <f t="shared" si="39"/>
        <v>2</v>
      </c>
      <c r="AB59" s="85">
        <f t="shared" si="39"/>
        <v>2</v>
      </c>
      <c r="AC59" s="85">
        <f t="shared" si="39"/>
        <v>3</v>
      </c>
      <c r="AD59" s="85">
        <f t="shared" si="39"/>
        <v>2</v>
      </c>
      <c r="AE59" s="85">
        <f t="shared" si="39"/>
        <v>3</v>
      </c>
      <c r="AF59" s="85">
        <f t="shared" si="39"/>
        <v>2</v>
      </c>
      <c r="AG59" s="85"/>
      <c r="AH59" s="1"/>
      <c r="AI59" s="1"/>
      <c r="AJ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</row>
    <row r="60" spans="1:64" ht="32.25" customHeight="1" x14ac:dyDescent="0.35">
      <c r="A60" s="100" t="s">
        <v>24</v>
      </c>
      <c r="B60" s="101">
        <f t="shared" ref="B60:AF60" si="40">COUNTIF(B2:B36,"1-5")</f>
        <v>1</v>
      </c>
      <c r="C60" s="101">
        <f t="shared" si="40"/>
        <v>1</v>
      </c>
      <c r="D60" s="101">
        <f t="shared" si="40"/>
        <v>1</v>
      </c>
      <c r="E60" s="101">
        <f t="shared" si="40"/>
        <v>0</v>
      </c>
      <c r="F60" s="101">
        <f t="shared" si="40"/>
        <v>1</v>
      </c>
      <c r="G60" s="101">
        <f t="shared" si="40"/>
        <v>1</v>
      </c>
      <c r="H60" s="101">
        <f t="shared" si="40"/>
        <v>0</v>
      </c>
      <c r="I60" s="101">
        <f t="shared" si="40"/>
        <v>1</v>
      </c>
      <c r="J60" s="101">
        <f t="shared" si="40"/>
        <v>0</v>
      </c>
      <c r="K60" s="101">
        <f t="shared" si="40"/>
        <v>1</v>
      </c>
      <c r="L60" s="101">
        <f t="shared" si="40"/>
        <v>1</v>
      </c>
      <c r="M60" s="101">
        <f t="shared" si="40"/>
        <v>0</v>
      </c>
      <c r="N60" s="101">
        <f t="shared" si="40"/>
        <v>1</v>
      </c>
      <c r="O60" s="101">
        <f t="shared" si="40"/>
        <v>1</v>
      </c>
      <c r="P60" s="101">
        <f t="shared" si="40"/>
        <v>1</v>
      </c>
      <c r="Q60" s="101">
        <f t="shared" si="40"/>
        <v>1</v>
      </c>
      <c r="R60" s="101">
        <f t="shared" si="40"/>
        <v>1</v>
      </c>
      <c r="S60" s="101">
        <f t="shared" si="40"/>
        <v>1</v>
      </c>
      <c r="T60" s="101">
        <f t="shared" si="40"/>
        <v>0</v>
      </c>
      <c r="U60" s="101">
        <f t="shared" si="40"/>
        <v>1</v>
      </c>
      <c r="V60" s="101">
        <f t="shared" si="40"/>
        <v>0</v>
      </c>
      <c r="W60" s="101">
        <f t="shared" si="40"/>
        <v>1</v>
      </c>
      <c r="X60" s="101">
        <f t="shared" si="40"/>
        <v>1</v>
      </c>
      <c r="Y60" s="101">
        <f t="shared" si="40"/>
        <v>1</v>
      </c>
      <c r="Z60" s="101">
        <f t="shared" si="40"/>
        <v>0</v>
      </c>
      <c r="AA60" s="101">
        <f t="shared" si="40"/>
        <v>1</v>
      </c>
      <c r="AB60" s="101">
        <f t="shared" si="40"/>
        <v>1</v>
      </c>
      <c r="AC60" s="101">
        <f t="shared" si="40"/>
        <v>1</v>
      </c>
      <c r="AD60" s="101">
        <f t="shared" si="40"/>
        <v>1</v>
      </c>
      <c r="AE60" s="101">
        <f t="shared" si="40"/>
        <v>1</v>
      </c>
      <c r="AF60" s="101">
        <f t="shared" si="40"/>
        <v>0</v>
      </c>
      <c r="AG60" s="101"/>
      <c r="AH60" s="1"/>
      <c r="AI60" s="1"/>
      <c r="AJ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</row>
    <row r="61" spans="1:64" ht="32.25" customHeight="1" x14ac:dyDescent="0.35">
      <c r="A61" s="102">
        <v>5</v>
      </c>
      <c r="B61" s="103">
        <f t="shared" ref="B61:AF61" si="41">COUNTIF(B4:B38,"5")</f>
        <v>0</v>
      </c>
      <c r="C61" s="103">
        <f t="shared" si="41"/>
        <v>0</v>
      </c>
      <c r="D61" s="103">
        <f t="shared" si="41"/>
        <v>0</v>
      </c>
      <c r="E61" s="103">
        <f t="shared" si="41"/>
        <v>0</v>
      </c>
      <c r="F61" s="103">
        <f t="shared" si="41"/>
        <v>0</v>
      </c>
      <c r="G61" s="103">
        <f t="shared" si="41"/>
        <v>0</v>
      </c>
      <c r="H61" s="103">
        <f t="shared" si="41"/>
        <v>0</v>
      </c>
      <c r="I61" s="103">
        <f t="shared" si="41"/>
        <v>0</v>
      </c>
      <c r="J61" s="103">
        <f t="shared" si="41"/>
        <v>0</v>
      </c>
      <c r="K61" s="103">
        <f t="shared" si="41"/>
        <v>0</v>
      </c>
      <c r="L61" s="103">
        <f t="shared" si="41"/>
        <v>0</v>
      </c>
      <c r="M61" s="103">
        <f t="shared" si="41"/>
        <v>0</v>
      </c>
      <c r="N61" s="103">
        <f t="shared" si="41"/>
        <v>0</v>
      </c>
      <c r="O61" s="103">
        <f t="shared" si="41"/>
        <v>0</v>
      </c>
      <c r="P61" s="103">
        <f t="shared" si="41"/>
        <v>0</v>
      </c>
      <c r="Q61" s="103">
        <f t="shared" si="41"/>
        <v>0</v>
      </c>
      <c r="R61" s="103">
        <f t="shared" si="41"/>
        <v>0</v>
      </c>
      <c r="S61" s="103">
        <f t="shared" si="41"/>
        <v>0</v>
      </c>
      <c r="T61" s="103">
        <f t="shared" si="41"/>
        <v>0</v>
      </c>
      <c r="U61" s="103">
        <f t="shared" si="41"/>
        <v>0</v>
      </c>
      <c r="V61" s="103">
        <f t="shared" si="41"/>
        <v>0</v>
      </c>
      <c r="W61" s="103">
        <f t="shared" si="41"/>
        <v>0</v>
      </c>
      <c r="X61" s="103">
        <f t="shared" si="41"/>
        <v>0</v>
      </c>
      <c r="Y61" s="103">
        <f t="shared" si="41"/>
        <v>0</v>
      </c>
      <c r="Z61" s="103">
        <f t="shared" si="41"/>
        <v>0</v>
      </c>
      <c r="AA61" s="103">
        <f t="shared" si="41"/>
        <v>0</v>
      </c>
      <c r="AB61" s="103">
        <f t="shared" si="41"/>
        <v>0</v>
      </c>
      <c r="AC61" s="103">
        <f t="shared" si="41"/>
        <v>0</v>
      </c>
      <c r="AD61" s="103">
        <f t="shared" si="41"/>
        <v>0</v>
      </c>
      <c r="AE61" s="103">
        <f t="shared" si="41"/>
        <v>0</v>
      </c>
      <c r="AF61" s="103">
        <f t="shared" si="41"/>
        <v>0</v>
      </c>
      <c r="AG61" s="103"/>
      <c r="AH61" s="1"/>
      <c r="AI61" s="1"/>
      <c r="AJ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</row>
    <row r="62" spans="1:64" ht="32.25" customHeight="1" x14ac:dyDescent="0.35">
      <c r="A62" s="104" t="s">
        <v>33</v>
      </c>
      <c r="B62" s="105">
        <f>COUNTIF(B4:B48,"C1")</f>
        <v>2</v>
      </c>
      <c r="C62" s="105">
        <f t="shared" ref="C62:AF62" si="42">COUNTIF(C4:C48,"C1")</f>
        <v>2</v>
      </c>
      <c r="D62" s="105">
        <f t="shared" si="42"/>
        <v>2</v>
      </c>
      <c r="E62" s="105">
        <f t="shared" si="42"/>
        <v>2</v>
      </c>
      <c r="F62" s="105">
        <f t="shared" si="42"/>
        <v>2</v>
      </c>
      <c r="G62" s="105">
        <f t="shared" si="42"/>
        <v>2</v>
      </c>
      <c r="H62" s="105">
        <f t="shared" si="42"/>
        <v>2</v>
      </c>
      <c r="I62" s="105">
        <f t="shared" si="42"/>
        <v>2</v>
      </c>
      <c r="J62" s="105">
        <f t="shared" si="42"/>
        <v>2</v>
      </c>
      <c r="K62" s="105">
        <f t="shared" si="42"/>
        <v>2</v>
      </c>
      <c r="L62" s="105">
        <f t="shared" si="42"/>
        <v>2</v>
      </c>
      <c r="M62" s="105">
        <f t="shared" si="42"/>
        <v>2</v>
      </c>
      <c r="N62" s="105">
        <f t="shared" si="42"/>
        <v>2</v>
      </c>
      <c r="O62" s="105">
        <f t="shared" si="42"/>
        <v>2</v>
      </c>
      <c r="P62" s="105">
        <f t="shared" si="42"/>
        <v>2</v>
      </c>
      <c r="Q62" s="105">
        <f t="shared" si="42"/>
        <v>2</v>
      </c>
      <c r="R62" s="105">
        <f t="shared" si="42"/>
        <v>2</v>
      </c>
      <c r="S62" s="105">
        <f t="shared" si="42"/>
        <v>2</v>
      </c>
      <c r="T62" s="105">
        <f t="shared" si="42"/>
        <v>2</v>
      </c>
      <c r="U62" s="105">
        <f t="shared" si="42"/>
        <v>2</v>
      </c>
      <c r="V62" s="105">
        <f t="shared" si="42"/>
        <v>2</v>
      </c>
      <c r="W62" s="105">
        <f t="shared" si="42"/>
        <v>2</v>
      </c>
      <c r="X62" s="105">
        <f t="shared" si="42"/>
        <v>2</v>
      </c>
      <c r="Y62" s="105">
        <f t="shared" si="42"/>
        <v>2</v>
      </c>
      <c r="Z62" s="105">
        <f t="shared" si="42"/>
        <v>2</v>
      </c>
      <c r="AA62" s="105">
        <f t="shared" si="42"/>
        <v>2</v>
      </c>
      <c r="AB62" s="105">
        <f t="shared" si="42"/>
        <v>2</v>
      </c>
      <c r="AC62" s="105">
        <f t="shared" si="42"/>
        <v>2</v>
      </c>
      <c r="AD62" s="105">
        <f t="shared" si="42"/>
        <v>2</v>
      </c>
      <c r="AE62" s="105">
        <f t="shared" si="42"/>
        <v>2</v>
      </c>
      <c r="AF62" s="105">
        <f t="shared" si="42"/>
        <v>2</v>
      </c>
      <c r="AG62" s="105"/>
      <c r="AH62" s="1"/>
      <c r="AI62" s="1"/>
      <c r="AJ62" s="1"/>
      <c r="AK62" s="86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</row>
    <row r="63" spans="1:64" ht="32.25" customHeight="1" x14ac:dyDescent="0.35">
      <c r="A63" s="106" t="s">
        <v>84</v>
      </c>
      <c r="B63" s="107">
        <f>COUNTIF(B2:B45,"C2")</f>
        <v>1</v>
      </c>
      <c r="C63" s="107">
        <f t="shared" ref="C63:AF63" si="43">COUNTIF(C2:C45,"C2")</f>
        <v>1</v>
      </c>
      <c r="D63" s="107">
        <f t="shared" si="43"/>
        <v>1</v>
      </c>
      <c r="E63" s="107">
        <f t="shared" si="43"/>
        <v>2</v>
      </c>
      <c r="F63" s="107">
        <f t="shared" si="43"/>
        <v>1</v>
      </c>
      <c r="G63" s="107">
        <f t="shared" si="43"/>
        <v>1</v>
      </c>
      <c r="H63" s="107">
        <f t="shared" si="43"/>
        <v>2</v>
      </c>
      <c r="I63" s="107">
        <f t="shared" si="43"/>
        <v>1</v>
      </c>
      <c r="J63" s="107">
        <f t="shared" si="43"/>
        <v>2</v>
      </c>
      <c r="K63" s="107">
        <f t="shared" si="43"/>
        <v>1</v>
      </c>
      <c r="L63" s="107">
        <f t="shared" si="43"/>
        <v>1</v>
      </c>
      <c r="M63" s="107">
        <f t="shared" si="43"/>
        <v>2</v>
      </c>
      <c r="N63" s="107">
        <f t="shared" si="43"/>
        <v>1</v>
      </c>
      <c r="O63" s="107">
        <f t="shared" si="43"/>
        <v>1</v>
      </c>
      <c r="P63" s="107">
        <f t="shared" si="43"/>
        <v>1</v>
      </c>
      <c r="Q63" s="107">
        <f t="shared" si="43"/>
        <v>1</v>
      </c>
      <c r="R63" s="107">
        <f t="shared" si="43"/>
        <v>1</v>
      </c>
      <c r="S63" s="107">
        <f t="shared" si="43"/>
        <v>1</v>
      </c>
      <c r="T63" s="107">
        <f t="shared" si="43"/>
        <v>1</v>
      </c>
      <c r="U63" s="107">
        <f t="shared" si="43"/>
        <v>1</v>
      </c>
      <c r="V63" s="107">
        <f t="shared" si="43"/>
        <v>2</v>
      </c>
      <c r="W63" s="107">
        <f t="shared" si="43"/>
        <v>1</v>
      </c>
      <c r="X63" s="107">
        <f t="shared" si="43"/>
        <v>1</v>
      </c>
      <c r="Y63" s="107">
        <f t="shared" si="43"/>
        <v>1</v>
      </c>
      <c r="Z63" s="107">
        <f t="shared" si="43"/>
        <v>2</v>
      </c>
      <c r="AA63" s="107">
        <f t="shared" si="43"/>
        <v>1</v>
      </c>
      <c r="AB63" s="107">
        <f t="shared" si="43"/>
        <v>1</v>
      </c>
      <c r="AC63" s="107">
        <f t="shared" si="43"/>
        <v>1</v>
      </c>
      <c r="AD63" s="107">
        <f t="shared" si="43"/>
        <v>1</v>
      </c>
      <c r="AE63" s="107">
        <f t="shared" si="43"/>
        <v>1</v>
      </c>
      <c r="AF63" s="107">
        <f t="shared" si="43"/>
        <v>2</v>
      </c>
      <c r="AG63" s="107"/>
      <c r="AH63" s="1"/>
      <c r="AI63" s="1"/>
      <c r="AJ63" s="1"/>
      <c r="AK63" s="86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</row>
    <row r="64" spans="1:64" ht="32.25" customHeight="1" x14ac:dyDescent="0.35">
      <c r="A64" s="108"/>
      <c r="B64" s="101">
        <f>SUM(B52:B63)</f>
        <v>14</v>
      </c>
      <c r="C64" s="101">
        <f t="shared" ref="C64:AF64" si="44">SUM(C52:C63)</f>
        <v>13</v>
      </c>
      <c r="D64" s="101">
        <f t="shared" si="44"/>
        <v>15</v>
      </c>
      <c r="E64" s="101">
        <f t="shared" si="44"/>
        <v>16</v>
      </c>
      <c r="F64" s="101">
        <f t="shared" si="44"/>
        <v>13</v>
      </c>
      <c r="G64" s="101">
        <f t="shared" si="44"/>
        <v>15</v>
      </c>
      <c r="H64" s="101">
        <f t="shared" si="44"/>
        <v>15</v>
      </c>
      <c r="I64" s="101">
        <f t="shared" si="44"/>
        <v>14</v>
      </c>
      <c r="J64" s="101">
        <f t="shared" si="44"/>
        <v>14</v>
      </c>
      <c r="K64" s="101">
        <f t="shared" si="44"/>
        <v>14</v>
      </c>
      <c r="L64" s="101">
        <f t="shared" si="44"/>
        <v>15</v>
      </c>
      <c r="M64" s="101">
        <f t="shared" si="44"/>
        <v>14</v>
      </c>
      <c r="N64" s="101">
        <f t="shared" si="44"/>
        <v>13</v>
      </c>
      <c r="O64" s="101">
        <f t="shared" si="44"/>
        <v>15</v>
      </c>
      <c r="P64" s="101">
        <f t="shared" si="44"/>
        <v>14</v>
      </c>
      <c r="Q64" s="101">
        <f t="shared" si="44"/>
        <v>14</v>
      </c>
      <c r="R64" s="101">
        <f t="shared" si="44"/>
        <v>14</v>
      </c>
      <c r="S64" s="101">
        <f t="shared" si="44"/>
        <v>14</v>
      </c>
      <c r="T64" s="101">
        <f t="shared" si="44"/>
        <v>12</v>
      </c>
      <c r="U64" s="101">
        <f t="shared" si="44"/>
        <v>13</v>
      </c>
      <c r="V64" s="101">
        <f t="shared" si="44"/>
        <v>14</v>
      </c>
      <c r="W64" s="101">
        <f t="shared" si="44"/>
        <v>13</v>
      </c>
      <c r="X64" s="101">
        <f t="shared" si="44"/>
        <v>14</v>
      </c>
      <c r="Y64" s="101">
        <f t="shared" si="44"/>
        <v>12</v>
      </c>
      <c r="Z64" s="101">
        <f t="shared" si="44"/>
        <v>15</v>
      </c>
      <c r="AA64" s="101">
        <f t="shared" si="44"/>
        <v>13</v>
      </c>
      <c r="AB64" s="101">
        <f t="shared" si="44"/>
        <v>13</v>
      </c>
      <c r="AC64" s="101">
        <f t="shared" si="44"/>
        <v>14</v>
      </c>
      <c r="AD64" s="101">
        <f t="shared" si="44"/>
        <v>13</v>
      </c>
      <c r="AE64" s="101">
        <f t="shared" si="44"/>
        <v>14</v>
      </c>
      <c r="AF64" s="101">
        <f t="shared" si="44"/>
        <v>13</v>
      </c>
      <c r="AG64" s="101"/>
    </row>
  </sheetData>
  <mergeCells count="1">
    <mergeCell ref="A1:L1"/>
  </mergeCells>
  <phoneticPr fontId="4"/>
  <conditionalFormatting sqref="B2">
    <cfRule type="expression" dxfId="61" priority="34">
      <formula>SUM(B$62+B$63)&gt;=4</formula>
    </cfRule>
  </conditionalFormatting>
  <conditionalFormatting sqref="B42">
    <cfRule type="expression" dxfId="60" priority="3">
      <formula>($B$62+$B$63)&gt;=4</formula>
    </cfRule>
  </conditionalFormatting>
  <conditionalFormatting sqref="C2">
    <cfRule type="expression" dxfId="59" priority="33">
      <formula>SUM($C$62+$C$63)&gt;=4</formula>
    </cfRule>
  </conditionalFormatting>
  <conditionalFormatting sqref="C42">
    <cfRule type="expression" dxfId="58" priority="61">
      <formula>($C$62+$C$63)&gt;=4</formula>
    </cfRule>
  </conditionalFormatting>
  <conditionalFormatting sqref="D2">
    <cfRule type="expression" dxfId="57" priority="5">
      <formula>($D$62+$D$63)&gt;=4</formula>
    </cfRule>
  </conditionalFormatting>
  <conditionalFormatting sqref="D42">
    <cfRule type="expression" dxfId="56" priority="60">
      <formula>($D$62+$D$63)&gt;=4</formula>
    </cfRule>
  </conditionalFormatting>
  <conditionalFormatting sqref="E2">
    <cfRule type="expression" dxfId="55" priority="32">
      <formula>SUM($E$62+$E$63)&gt;=4</formula>
    </cfRule>
  </conditionalFormatting>
  <conditionalFormatting sqref="E42">
    <cfRule type="expression" dxfId="54" priority="59">
      <formula>($E$62+$E$63)&gt;=4</formula>
    </cfRule>
  </conditionalFormatting>
  <conditionalFormatting sqref="F2">
    <cfRule type="expression" dxfId="53" priority="31">
      <formula>($F$62+$F$63)&gt;=4</formula>
    </cfRule>
  </conditionalFormatting>
  <conditionalFormatting sqref="F42">
    <cfRule type="expression" dxfId="52" priority="58">
      <formula>($F$62+$F$63)&gt;=4</formula>
    </cfRule>
  </conditionalFormatting>
  <conditionalFormatting sqref="G2">
    <cfRule type="expression" dxfId="51" priority="30">
      <formula>($G$62+$G$63)&gt;=4</formula>
    </cfRule>
  </conditionalFormatting>
  <conditionalFormatting sqref="G42">
    <cfRule type="expression" dxfId="50" priority="57">
      <formula>($G$62+$G$63)&gt;=4</formula>
    </cfRule>
  </conditionalFormatting>
  <conditionalFormatting sqref="H2">
    <cfRule type="expression" dxfId="49" priority="29">
      <formula>($H$62+$H$63)&gt;=4</formula>
    </cfRule>
  </conditionalFormatting>
  <conditionalFormatting sqref="H42">
    <cfRule type="expression" dxfId="48" priority="56">
      <formula>($H$62+$H$63)&gt;=4</formula>
    </cfRule>
  </conditionalFormatting>
  <conditionalFormatting sqref="I2">
    <cfRule type="expression" dxfId="47" priority="28">
      <formula>($I$62+$I$63)&gt;=4</formula>
    </cfRule>
  </conditionalFormatting>
  <conditionalFormatting sqref="I42">
    <cfRule type="expression" dxfId="46" priority="55">
      <formula>($I$62+$I$63)&gt;=4</formula>
    </cfRule>
  </conditionalFormatting>
  <conditionalFormatting sqref="J2">
    <cfRule type="expression" dxfId="45" priority="27">
      <formula>($J$62+$J$63)&gt;=4</formula>
    </cfRule>
  </conditionalFormatting>
  <conditionalFormatting sqref="J42">
    <cfRule type="expression" dxfId="44" priority="62">
      <formula>($J$62+$J$63)&gt;=4</formula>
    </cfRule>
  </conditionalFormatting>
  <conditionalFormatting sqref="K2">
    <cfRule type="expression" dxfId="43" priority="4">
      <formula>($K$62+$K$63)&gt;=4</formula>
    </cfRule>
  </conditionalFormatting>
  <conditionalFormatting sqref="K42">
    <cfRule type="expression" dxfId="42" priority="2">
      <formula>($K$62+$K$63)&gt;=4</formula>
    </cfRule>
  </conditionalFormatting>
  <conditionalFormatting sqref="L2">
    <cfRule type="expression" dxfId="41" priority="26">
      <formula>($L$62+$L$63)&gt;=4</formula>
    </cfRule>
  </conditionalFormatting>
  <conditionalFormatting sqref="L42">
    <cfRule type="expression" dxfId="40" priority="54">
      <formula>($L$62+$L$63)&gt;=4</formula>
    </cfRule>
  </conditionalFormatting>
  <conditionalFormatting sqref="M2">
    <cfRule type="expression" dxfId="39" priority="25">
      <formula>($M$62+$M$63)&gt;=4</formula>
    </cfRule>
  </conditionalFormatting>
  <conditionalFormatting sqref="M42">
    <cfRule type="expression" dxfId="38" priority="53">
      <formula>($M$62+$M$63)&gt;=4</formula>
    </cfRule>
  </conditionalFormatting>
  <conditionalFormatting sqref="N2">
    <cfRule type="expression" dxfId="37" priority="24">
      <formula>($N$62+$N$63)&gt;=4</formula>
    </cfRule>
  </conditionalFormatting>
  <conditionalFormatting sqref="N42">
    <cfRule type="expression" dxfId="36" priority="52">
      <formula>($N$62+$N$63)&gt;=4</formula>
    </cfRule>
  </conditionalFormatting>
  <conditionalFormatting sqref="O2">
    <cfRule type="expression" dxfId="35" priority="23">
      <formula>($O$62+$O$63)&gt;=4</formula>
    </cfRule>
  </conditionalFormatting>
  <conditionalFormatting sqref="O42">
    <cfRule type="expression" dxfId="34" priority="51">
      <formula>($O$62+$O$63)&gt;=4</formula>
    </cfRule>
  </conditionalFormatting>
  <conditionalFormatting sqref="P2">
    <cfRule type="expression" dxfId="33" priority="22">
      <formula>($P$62+$P$63)&gt;=4</formula>
    </cfRule>
  </conditionalFormatting>
  <conditionalFormatting sqref="P42">
    <cfRule type="expression" dxfId="32" priority="50">
      <formula>($P$62+$P$63)&gt;=4</formula>
    </cfRule>
  </conditionalFormatting>
  <conditionalFormatting sqref="Q2">
    <cfRule type="expression" dxfId="31" priority="21">
      <formula>($Q$62+$Q$63)&gt;=4</formula>
    </cfRule>
  </conditionalFormatting>
  <conditionalFormatting sqref="Q42">
    <cfRule type="expression" dxfId="30" priority="49">
      <formula>($Q$62+$Q$63)&gt;=4</formula>
    </cfRule>
  </conditionalFormatting>
  <conditionalFormatting sqref="R2">
    <cfRule type="expression" dxfId="29" priority="20">
      <formula>($R$62+$R$63)&gt;=4</formula>
    </cfRule>
  </conditionalFormatting>
  <conditionalFormatting sqref="R42">
    <cfRule type="expression" dxfId="28" priority="48">
      <formula>($R$62+$R$63)&gt;=4</formula>
    </cfRule>
  </conditionalFormatting>
  <conditionalFormatting sqref="S2">
    <cfRule type="expression" dxfId="27" priority="19">
      <formula>($S$62+$S$63)&gt;=4</formula>
    </cfRule>
  </conditionalFormatting>
  <conditionalFormatting sqref="S42">
    <cfRule type="expression" dxfId="26" priority="47">
      <formula>($S$62+$S$63)&gt;=4</formula>
    </cfRule>
  </conditionalFormatting>
  <conditionalFormatting sqref="T2">
    <cfRule type="expression" dxfId="25" priority="18">
      <formula>($T$62+$T$63)&gt;=4</formula>
    </cfRule>
  </conditionalFormatting>
  <conditionalFormatting sqref="T42">
    <cfRule type="expression" dxfId="24" priority="46">
      <formula>($T$62+$T$63)&gt;=4</formula>
    </cfRule>
  </conditionalFormatting>
  <conditionalFormatting sqref="U2">
    <cfRule type="expression" dxfId="23" priority="17">
      <formula>($U$62+$U$63)&gt;=4</formula>
    </cfRule>
  </conditionalFormatting>
  <conditionalFormatting sqref="U42">
    <cfRule type="expression" dxfId="22" priority="45">
      <formula>($U$62+$U$63)&gt;=4</formula>
    </cfRule>
  </conditionalFormatting>
  <conditionalFormatting sqref="V2">
    <cfRule type="expression" dxfId="21" priority="16">
      <formula>($V$62+$V$63)&gt;=4</formula>
    </cfRule>
  </conditionalFormatting>
  <conditionalFormatting sqref="V42">
    <cfRule type="expression" dxfId="20" priority="44">
      <formula>($V$62+$V$63)&gt;=4</formula>
    </cfRule>
  </conditionalFormatting>
  <conditionalFormatting sqref="W2">
    <cfRule type="expression" dxfId="19" priority="15">
      <formula>($W$62+$W$63)&gt;=4</formula>
    </cfRule>
  </conditionalFormatting>
  <conditionalFormatting sqref="W42">
    <cfRule type="expression" dxfId="18" priority="43">
      <formula>($W$62+$W$63)&gt;=4</formula>
    </cfRule>
  </conditionalFormatting>
  <conditionalFormatting sqref="X2">
    <cfRule type="expression" dxfId="17" priority="14">
      <formula>($X$62+$X$63)&gt;=4</formula>
    </cfRule>
  </conditionalFormatting>
  <conditionalFormatting sqref="X42">
    <cfRule type="expression" dxfId="16" priority="42">
      <formula>($X$62+$X$63)&gt;=4</formula>
    </cfRule>
  </conditionalFormatting>
  <conditionalFormatting sqref="Y2">
    <cfRule type="expression" dxfId="15" priority="13">
      <formula>($Y$62+$Y$63)&gt;=4</formula>
    </cfRule>
  </conditionalFormatting>
  <conditionalFormatting sqref="Y42">
    <cfRule type="expression" dxfId="14" priority="41">
      <formula>($Y$62+$Y$63)&gt;=4</formula>
    </cfRule>
  </conditionalFormatting>
  <conditionalFormatting sqref="Z2">
    <cfRule type="expression" dxfId="13" priority="12">
      <formula>($Z$62+$Z$63)&gt;=4</formula>
    </cfRule>
  </conditionalFormatting>
  <conditionalFormatting sqref="Z42">
    <cfRule type="expression" dxfId="12" priority="40">
      <formula>($Z$62+$Z$63)&gt;=4</formula>
    </cfRule>
  </conditionalFormatting>
  <conditionalFormatting sqref="AA2">
    <cfRule type="expression" dxfId="11" priority="11">
      <formula>($AA$62+$AA$63)&gt;=4</formula>
    </cfRule>
  </conditionalFormatting>
  <conditionalFormatting sqref="AA42">
    <cfRule type="expression" dxfId="10" priority="39">
      <formula>($AA$62+$AA$63)&gt;=4</formula>
    </cfRule>
  </conditionalFormatting>
  <conditionalFormatting sqref="AB2">
    <cfRule type="expression" dxfId="9" priority="10">
      <formula>($AB$62+$AB$63)&gt;=4</formula>
    </cfRule>
  </conditionalFormatting>
  <conditionalFormatting sqref="AB42">
    <cfRule type="expression" dxfId="8" priority="38">
      <formula>($AB$62+$AB$63)&gt;=4</formula>
    </cfRule>
  </conditionalFormatting>
  <conditionalFormatting sqref="AC2">
    <cfRule type="expression" dxfId="7" priority="9">
      <formula>($AC$62+$AC$63)&gt;=4</formula>
    </cfRule>
  </conditionalFormatting>
  <conditionalFormatting sqref="AC42">
    <cfRule type="expression" dxfId="6" priority="37">
      <formula>($AC$62+$AC$63)&gt;=4</formula>
    </cfRule>
  </conditionalFormatting>
  <conditionalFormatting sqref="AD2">
    <cfRule type="expression" dxfId="5" priority="8">
      <formula>($AD$62+$AD$63)&gt;=4</formula>
    </cfRule>
  </conditionalFormatting>
  <conditionalFormatting sqref="AD42">
    <cfRule type="expression" dxfId="4" priority="36">
      <formula>($AD$62+$AD$63)&gt;=4</formula>
    </cfRule>
  </conditionalFormatting>
  <conditionalFormatting sqref="AE2">
    <cfRule type="expression" dxfId="3" priority="7">
      <formula>($AE$62+$AE$63)&gt;=4</formula>
    </cfRule>
  </conditionalFormatting>
  <conditionalFormatting sqref="AE42">
    <cfRule type="expression" dxfId="2" priority="35">
      <formula>($AE$62+$AE$63)&gt;=4</formula>
    </cfRule>
  </conditionalFormatting>
  <conditionalFormatting sqref="AF2">
    <cfRule type="expression" dxfId="1" priority="6">
      <formula>($AF$62+$AF$63)&gt;=4</formula>
    </cfRule>
  </conditionalFormatting>
  <conditionalFormatting sqref="AF42">
    <cfRule type="expression" dxfId="0" priority="1">
      <formula>($AF$62+$AF$63)&gt;=4</formula>
    </cfRule>
  </conditionalFormatting>
  <printOptions horizontalCentered="1" verticalCentered="1"/>
  <pageMargins left="0.23622047244094491" right="0.23622047244094491" top="7.874015748031496E-2" bottom="7.874015748031496E-2" header="0.31496062992125984" footer="0.31496062992125984"/>
  <pageSetup paperSize="12" scale="43" orientation="landscape" copies="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令和8年7月 </vt:lpstr>
      <vt:lpstr>'令和8年7月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あすかのさと あすかの里</dc:creator>
  <cp:lastModifiedBy>惇 福井</cp:lastModifiedBy>
  <cp:lastPrinted>2026-06-22T03:02:49Z</cp:lastPrinted>
  <dcterms:created xsi:type="dcterms:W3CDTF">2026-05-24T05:27:19Z</dcterms:created>
  <dcterms:modified xsi:type="dcterms:W3CDTF">2026-07-05T06:51:29Z</dcterms:modified>
</cp:coreProperties>
</file>